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1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/Users/mauricioburgos/Downloads/"/>
    </mc:Choice>
  </mc:AlternateContent>
  <xr:revisionPtr revIDLastSave="0" documentId="8_{ADA919ED-8FC6-8D47-85FC-6271A094152E}" xr6:coauthVersionLast="47" xr6:coauthVersionMax="47" xr10:uidLastSave="{00000000-0000-0000-0000-000000000000}"/>
  <bookViews>
    <workbookView xWindow="25140" yWindow="600" windowWidth="27620" windowHeight="17900" tabRatio="840" firstSheet="14" activeTab="25" xr2:uid="{43F673C6-3E8B-45AC-AF21-CF005A507B2E}"/>
  </bookViews>
  <sheets>
    <sheet name="Precios Mayoreo" sheetId="56" r:id="rId1"/>
    <sheet name="Lista de Costo Produccion" sheetId="17" r:id="rId2"/>
    <sheet name="Pastel Fresas Con Crema" sheetId="9" r:id="rId3"/>
    <sheet name="Lista de Precio Actual" sheetId="62" r:id="rId4"/>
    <sheet name="Costo Materia Prima" sheetId="27" r:id="rId5"/>
    <sheet name="Insumos 1" sheetId="2" r:id="rId6"/>
    <sheet name="Insumos 2" sheetId="3" r:id="rId7"/>
    <sheet name="Insumos 3" sheetId="8" r:id="rId8"/>
    <sheet name="Bollos" sheetId="21" r:id="rId9"/>
    <sheet name="Roscas" sheetId="28" r:id="rId10"/>
    <sheet name="Cheesecake" sheetId="41" r:id="rId11"/>
    <sheet name="Resumen Costos" sheetId="42" r:id="rId12"/>
    <sheet name="Alfajores" sheetId="51" r:id="rId13"/>
    <sheet name="Galletas" sheetId="34" r:id="rId14"/>
    <sheet name="Pan de Muerto" sheetId="60" r:id="rId15"/>
    <sheet name="Pan de la Casa" sheetId="50" r:id="rId16"/>
    <sheet name="Pastel Brownie" sheetId="47" r:id="rId17"/>
    <sheet name="Empanadas" sheetId="49" r:id="rId18"/>
    <sheet name="Pastel Lotus" sheetId="45" r:id="rId19"/>
    <sheet name="B. Halloween" sheetId="61" r:id="rId20"/>
    <sheet name="Pay Plátano" sheetId="43" r:id="rId21"/>
    <sheet name="Pay" sheetId="37" r:id="rId22"/>
    <sheet name="Flan" sheetId="55" r:id="rId23"/>
    <sheet name="Vasos" sheetId="6" r:id="rId24"/>
    <sheet name="San Valentín" sheetId="44" r:id="rId25"/>
    <sheet name="Pastel 3 Pecados" sheetId="11" r:id="rId26"/>
    <sheet name="Pastel Crunch" sheetId="12" r:id="rId27"/>
    <sheet name="Pastel Snicker's" sheetId="10" r:id="rId28"/>
    <sheet name="Pastel Zanahoria" sheetId="7" r:id="rId29"/>
    <sheet name="Pastel 3 Leches" sheetId="13" r:id="rId30"/>
    <sheet name="Pastel 3 Leches Lotus" sheetId="46" r:id="rId31"/>
    <sheet name="Pastel Chocolate" sheetId="39" r:id="rId32"/>
    <sheet name="Pastel Piñatero" sheetId="52" r:id="rId33"/>
    <sheet name="Pastel Red Velvet" sheetId="53" r:id="rId34"/>
    <sheet name="Pastel Confeti" sheetId="54" r:id="rId35"/>
    <sheet name="Pastel Vainilla" sheetId="18" r:id="rId36"/>
    <sheet name="Día del Niño" sheetId="48" r:id="rId37"/>
  </sheets>
  <externalReferences>
    <externalReference r:id="rId38"/>
    <externalReference r:id="rId39"/>
  </externalReferences>
  <definedNames>
    <definedName name="_xlnm._FilterDatabase" localSheetId="4" hidden="1">'Costo Materia Prima'!$A$2:$L$181</definedName>
    <definedName name="_xlnm._FilterDatabase" localSheetId="1" hidden="1">'Lista de Costo Produccion'!$B$1:$L$104</definedName>
    <definedName name="_xlnm._FilterDatabase" localSheetId="3" hidden="1">'Lista de Precio Actual'!$B$1:$L$92</definedName>
    <definedName name="_xlnm.Print_Area" localSheetId="36">'Día del Niño'!$A$1:$K$27</definedName>
    <definedName name="_xlnm.Print_Area" localSheetId="6">'Insumos 2'!#REF!</definedName>
    <definedName name="_xlnm.Print_Area" localSheetId="1">'Lista de Costo Produccion'!$A$1:$H$53</definedName>
    <definedName name="_xlnm.Print_Area" localSheetId="3">'Lista de Precio Actual'!$A$1:$H$41</definedName>
    <definedName name="_xlnm.Print_Area" localSheetId="0">'Precios Mayoreo'!$A$3:$H$44</definedName>
    <definedName name="_xlnm.Print_Area" localSheetId="11">'Resumen Costos'!$A$3:$H$42</definedName>
    <definedName name="Producto" localSheetId="4">'Costo Materia Prima'!$D$3:$D$181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9" i="37" l="1"/>
  <c r="H13" i="53"/>
  <c r="G13" i="53"/>
  <c r="C13" i="53" s="1"/>
  <c r="F13" i="53"/>
  <c r="E13" i="53"/>
  <c r="D13" i="53"/>
  <c r="H7" i="54"/>
  <c r="G7" i="54"/>
  <c r="F7" i="54"/>
  <c r="H7" i="52"/>
  <c r="G7" i="52"/>
  <c r="F7" i="52"/>
  <c r="E7" i="52"/>
  <c r="D7" i="13"/>
  <c r="H7" i="7"/>
  <c r="G7" i="7"/>
  <c r="F7" i="7"/>
  <c r="H7" i="10"/>
  <c r="G7" i="10"/>
  <c r="F7" i="10"/>
  <c r="E7" i="10"/>
  <c r="H7" i="12"/>
  <c r="G7" i="12"/>
  <c r="F7" i="12"/>
  <c r="E7" i="12"/>
  <c r="H10" i="11"/>
  <c r="G10" i="11"/>
  <c r="F10" i="11"/>
  <c r="F11" i="11"/>
  <c r="E10" i="11"/>
  <c r="H7" i="9"/>
  <c r="G7" i="9"/>
  <c r="F7" i="9"/>
  <c r="E7" i="9"/>
  <c r="D13" i="52"/>
  <c r="B7" i="53"/>
  <c r="F10" i="18"/>
  <c r="B7" i="54"/>
  <c r="B7" i="52"/>
  <c r="B7" i="46"/>
  <c r="H5" i="54"/>
  <c r="G5" i="54"/>
  <c r="F5" i="54"/>
  <c r="D5" i="13"/>
  <c r="E12" i="10"/>
  <c r="E10" i="9"/>
  <c r="E16" i="11"/>
  <c r="H5" i="18"/>
  <c r="G5" i="18"/>
  <c r="F5" i="18"/>
  <c r="F5" i="52"/>
  <c r="H5" i="52"/>
  <c r="G5" i="52"/>
  <c r="H6" i="39"/>
  <c r="G6" i="39"/>
  <c r="F6" i="39"/>
  <c r="F5" i="46"/>
  <c r="D5" i="46"/>
  <c r="F5" i="13"/>
  <c r="H5" i="7"/>
  <c r="G5" i="7"/>
  <c r="F5" i="7"/>
  <c r="H5" i="10"/>
  <c r="G5" i="10"/>
  <c r="F5" i="10"/>
  <c r="H5" i="12"/>
  <c r="G5" i="12"/>
  <c r="F5" i="12"/>
  <c r="E5" i="12"/>
  <c r="E6" i="11"/>
  <c r="H6" i="11"/>
  <c r="E8" i="11"/>
  <c r="F8" i="11"/>
  <c r="G8" i="11"/>
  <c r="H8" i="11"/>
  <c r="F6" i="11"/>
  <c r="G6" i="11"/>
  <c r="H5" i="9"/>
  <c r="G5" i="9"/>
  <c r="F5" i="9"/>
  <c r="E5" i="9"/>
  <c r="E12" i="9" s="1"/>
  <c r="E110" i="3" l="1"/>
  <c r="E79" i="3"/>
  <c r="E84" i="3" s="1"/>
  <c r="V9" i="12" l="1"/>
  <c r="S6" i="12"/>
  <c r="V13" i="11"/>
  <c r="B236" i="34"/>
  <c r="R32" i="9"/>
  <c r="U20" i="9"/>
  <c r="U15" i="9"/>
  <c r="R16" i="9"/>
  <c r="R27" i="9"/>
  <c r="R22" i="9"/>
  <c r="B60" i="34"/>
  <c r="B235" i="34"/>
  <c r="D23" i="21"/>
  <c r="C23" i="21"/>
  <c r="K23" i="21"/>
  <c r="L23" i="21"/>
  <c r="D20" i="21"/>
  <c r="C20" i="21"/>
  <c r="X16" i="8"/>
  <c r="X8" i="8"/>
  <c r="F175" i="27" l="1"/>
  <c r="F176" i="27"/>
  <c r="F177" i="27"/>
  <c r="F178" i="27"/>
  <c r="F179" i="27"/>
  <c r="F180" i="27"/>
  <c r="F181" i="27"/>
  <c r="G175" i="27"/>
  <c r="G176" i="27"/>
  <c r="G177" i="27"/>
  <c r="G178" i="27"/>
  <c r="G179" i="27"/>
  <c r="G180" i="27"/>
  <c r="G181" i="27"/>
  <c r="H175" i="27"/>
  <c r="H176" i="27"/>
  <c r="H177" i="27"/>
  <c r="I177" i="27" s="1"/>
  <c r="H178" i="27"/>
  <c r="I178" i="27" s="1"/>
  <c r="H179" i="27"/>
  <c r="H180" i="27"/>
  <c r="I180" i="27" s="1"/>
  <c r="H181" i="27"/>
  <c r="I175" i="27"/>
  <c r="X21" i="8" s="1"/>
  <c r="I176" i="27"/>
  <c r="J175" i="27"/>
  <c r="J176" i="27"/>
  <c r="J177" i="27"/>
  <c r="J178" i="27"/>
  <c r="J179" i="27"/>
  <c r="J180" i="27"/>
  <c r="J181" i="27"/>
  <c r="K175" i="27"/>
  <c r="K176" i="27"/>
  <c r="K177" i="27"/>
  <c r="K178" i="27"/>
  <c r="K179" i="27"/>
  <c r="K180" i="27"/>
  <c r="K181" i="27"/>
  <c r="L175" i="27"/>
  <c r="L176" i="27"/>
  <c r="L177" i="27"/>
  <c r="L178" i="27"/>
  <c r="L179" i="27"/>
  <c r="L180" i="27"/>
  <c r="L181" i="27"/>
  <c r="I179" i="27" l="1"/>
  <c r="D235" i="34" s="1"/>
  <c r="I181" i="27"/>
  <c r="R33" i="9" s="1"/>
  <c r="U18" i="9" s="1"/>
  <c r="AC103" i="3"/>
  <c r="X31" i="8" l="1"/>
  <c r="X23" i="8"/>
  <c r="X15" i="8"/>
  <c r="L20" i="21"/>
  <c r="L21" i="21" s="1"/>
  <c r="K20" i="21"/>
  <c r="K21" i="21" s="1"/>
  <c r="K174" i="27"/>
  <c r="L170" i="27"/>
  <c r="F174" i="27"/>
  <c r="G174" i="27"/>
  <c r="H174" i="27"/>
  <c r="J174" i="27"/>
  <c r="L174" i="27"/>
  <c r="L173" i="27"/>
  <c r="K173" i="27"/>
  <c r="J173" i="27"/>
  <c r="H173" i="27"/>
  <c r="G173" i="27"/>
  <c r="F173" i="27"/>
  <c r="L172" i="27"/>
  <c r="K172" i="27"/>
  <c r="J172" i="27"/>
  <c r="H172" i="27"/>
  <c r="G172" i="27"/>
  <c r="F172" i="27"/>
  <c r="L171" i="27"/>
  <c r="K171" i="27"/>
  <c r="J171" i="27"/>
  <c r="H171" i="27"/>
  <c r="G171" i="27"/>
  <c r="F171" i="27"/>
  <c r="K170" i="27"/>
  <c r="J170" i="27"/>
  <c r="H170" i="27"/>
  <c r="G170" i="27"/>
  <c r="F170" i="27"/>
  <c r="F160" i="27"/>
  <c r="G160" i="27"/>
  <c r="H160" i="27"/>
  <c r="J160" i="27"/>
  <c r="K160" i="27"/>
  <c r="L160" i="27"/>
  <c r="X7" i="8"/>
  <c r="I6" i="21"/>
  <c r="I7" i="21" s="1"/>
  <c r="H6" i="21"/>
  <c r="H7" i="21" s="1"/>
  <c r="F6" i="21"/>
  <c r="F7" i="21" s="1"/>
  <c r="E6" i="21"/>
  <c r="E7" i="21" s="1"/>
  <c r="I172" i="27" l="1"/>
  <c r="I174" i="27"/>
  <c r="I173" i="27"/>
  <c r="I171" i="27"/>
  <c r="X30" i="8" s="1"/>
  <c r="I170" i="27"/>
  <c r="D234" i="34" s="1"/>
  <c r="I160" i="27"/>
  <c r="D6" i="21" l="1"/>
  <c r="D21" i="21" s="1"/>
  <c r="C6" i="21"/>
  <c r="C21" i="21" s="1"/>
  <c r="C7" i="21" l="1"/>
  <c r="D7" i="21"/>
  <c r="E56" i="2"/>
  <c r="L6" i="21" l="1"/>
  <c r="L7" i="21" s="1"/>
  <c r="K6" i="21"/>
  <c r="K7" i="21" s="1"/>
  <c r="X22" i="8"/>
  <c r="B7" i="9" l="1"/>
  <c r="G58" i="3"/>
  <c r="L5" i="49"/>
  <c r="U17" i="9" l="1"/>
  <c r="E20" i="3"/>
  <c r="E21" i="3"/>
  <c r="E22" i="3"/>
  <c r="E23" i="3"/>
  <c r="E19" i="3"/>
  <c r="E154" i="2"/>
  <c r="E5" i="2"/>
  <c r="E6" i="2"/>
  <c r="E7" i="2"/>
  <c r="E4" i="2"/>
  <c r="E51" i="2"/>
  <c r="E50" i="2"/>
  <c r="E64" i="2"/>
  <c r="E65" i="2"/>
  <c r="E63" i="2"/>
  <c r="E80" i="2"/>
  <c r="E57" i="2"/>
  <c r="E58" i="2"/>
  <c r="E145" i="2"/>
  <c r="E146" i="2"/>
  <c r="E147" i="2"/>
  <c r="E148" i="2"/>
  <c r="E136" i="2"/>
  <c r="E12" i="2"/>
  <c r="E17" i="2"/>
  <c r="E13" i="2"/>
  <c r="E14" i="2"/>
  <c r="E15" i="2"/>
  <c r="E16" i="2"/>
  <c r="AR46" i="17"/>
  <c r="AQ46" i="17"/>
  <c r="AP46" i="17"/>
  <c r="AO46" i="17"/>
  <c r="AN46" i="17"/>
  <c r="AF46" i="17"/>
  <c r="AE46" i="17"/>
  <c r="AD46" i="17"/>
  <c r="AC46" i="17"/>
  <c r="AB46" i="17"/>
  <c r="Z46" i="17"/>
  <c r="Y46" i="17"/>
  <c r="X46" i="17"/>
  <c r="W46" i="17"/>
  <c r="V46" i="17"/>
  <c r="T46" i="17"/>
  <c r="S46" i="17"/>
  <c r="R46" i="17"/>
  <c r="Q46" i="17"/>
  <c r="P46" i="17"/>
  <c r="N46" i="17"/>
  <c r="M46" i="17"/>
  <c r="L46" i="17"/>
  <c r="K46" i="17"/>
  <c r="J46" i="17"/>
  <c r="AR45" i="17"/>
  <c r="AQ45" i="17"/>
  <c r="AP45" i="17"/>
  <c r="AO45" i="17"/>
  <c r="AN45" i="17"/>
  <c r="AF45" i="17"/>
  <c r="AE45" i="17"/>
  <c r="AD45" i="17"/>
  <c r="AC45" i="17"/>
  <c r="AB45" i="17"/>
  <c r="Z45" i="17"/>
  <c r="Y45" i="17"/>
  <c r="X45" i="17"/>
  <c r="W45" i="17"/>
  <c r="V45" i="17"/>
  <c r="T45" i="17"/>
  <c r="S45" i="17"/>
  <c r="R45" i="17"/>
  <c r="Q45" i="17"/>
  <c r="P45" i="17"/>
  <c r="N45" i="17"/>
  <c r="M45" i="17"/>
  <c r="L45" i="17"/>
  <c r="K45" i="17"/>
  <c r="J45" i="17"/>
  <c r="AR44" i="17"/>
  <c r="AQ44" i="17"/>
  <c r="AP44" i="17"/>
  <c r="AO44" i="17"/>
  <c r="AN44" i="17"/>
  <c r="AF44" i="17"/>
  <c r="AE44" i="17"/>
  <c r="AD44" i="17"/>
  <c r="AC44" i="17"/>
  <c r="AB44" i="17"/>
  <c r="Z44" i="17"/>
  <c r="Y44" i="17"/>
  <c r="X44" i="17"/>
  <c r="W44" i="17"/>
  <c r="V44" i="17"/>
  <c r="T44" i="17"/>
  <c r="S44" i="17"/>
  <c r="R44" i="17"/>
  <c r="Q44" i="17"/>
  <c r="P44" i="17"/>
  <c r="N44" i="17"/>
  <c r="M44" i="17"/>
  <c r="L44" i="17"/>
  <c r="K44" i="17"/>
  <c r="J44" i="17"/>
  <c r="AR43" i="17"/>
  <c r="AQ43" i="17"/>
  <c r="AP43" i="17"/>
  <c r="AO43" i="17"/>
  <c r="AN43" i="17"/>
  <c r="AF43" i="17"/>
  <c r="AE43" i="17"/>
  <c r="AD43" i="17"/>
  <c r="AC43" i="17"/>
  <c r="AB43" i="17"/>
  <c r="Z43" i="17"/>
  <c r="Y43" i="17"/>
  <c r="X43" i="17"/>
  <c r="W43" i="17"/>
  <c r="V43" i="17"/>
  <c r="T43" i="17"/>
  <c r="S43" i="17"/>
  <c r="R43" i="17"/>
  <c r="Q43" i="17"/>
  <c r="P43" i="17"/>
  <c r="N43" i="17"/>
  <c r="M43" i="17"/>
  <c r="L43" i="17"/>
  <c r="K43" i="17"/>
  <c r="J43" i="17"/>
  <c r="AR42" i="17"/>
  <c r="AQ42" i="17"/>
  <c r="AP42" i="17"/>
  <c r="AO42" i="17"/>
  <c r="AN42" i="17"/>
  <c r="AF42" i="17"/>
  <c r="AE42" i="17"/>
  <c r="AD42" i="17"/>
  <c r="AC42" i="17"/>
  <c r="AB42" i="17"/>
  <c r="Z42" i="17"/>
  <c r="Y42" i="17"/>
  <c r="X42" i="17"/>
  <c r="W42" i="17"/>
  <c r="V42" i="17"/>
  <c r="T42" i="17"/>
  <c r="S42" i="17"/>
  <c r="R42" i="17"/>
  <c r="Q42" i="17"/>
  <c r="P42" i="17"/>
  <c r="N42" i="17"/>
  <c r="M42" i="17"/>
  <c r="L42" i="17"/>
  <c r="K42" i="17"/>
  <c r="J42" i="17"/>
  <c r="E81" i="2"/>
  <c r="E82" i="2"/>
  <c r="E83" i="2"/>
  <c r="E84" i="2"/>
  <c r="E85" i="2"/>
  <c r="E86" i="2"/>
  <c r="E137" i="2"/>
  <c r="E138" i="2"/>
  <c r="E139" i="2"/>
  <c r="E140" i="2"/>
  <c r="J12" i="3" l="1"/>
  <c r="J13" i="3"/>
  <c r="J14" i="3"/>
  <c r="J11" i="3"/>
  <c r="I12" i="3"/>
  <c r="I13" i="3"/>
  <c r="I14" i="3"/>
  <c r="I11" i="3"/>
  <c r="I5" i="3"/>
  <c r="I4" i="3"/>
  <c r="E36" i="3"/>
  <c r="G6" i="43"/>
  <c r="E6" i="43"/>
  <c r="I36" i="3"/>
  <c r="J36" i="3" s="1"/>
  <c r="K37" i="3"/>
  <c r="K38" i="3"/>
  <c r="K39" i="3"/>
  <c r="L39" i="3" s="1"/>
  <c r="K36" i="3"/>
  <c r="L36" i="3" s="1"/>
  <c r="L38" i="3"/>
  <c r="L37" i="3"/>
  <c r="J37" i="3"/>
  <c r="J38" i="3"/>
  <c r="J39" i="3"/>
  <c r="I37" i="3"/>
  <c r="I38" i="3"/>
  <c r="I39" i="3"/>
  <c r="E37" i="3"/>
  <c r="E38" i="3"/>
  <c r="E39" i="3"/>
  <c r="K34" i="3"/>
  <c r="I34" i="3"/>
  <c r="E7" i="43"/>
  <c r="E54" i="3"/>
  <c r="E55" i="3" s="1"/>
  <c r="E80" i="3"/>
  <c r="F4" i="60"/>
  <c r="E132" i="3"/>
  <c r="E133" i="3"/>
  <c r="E134" i="3"/>
  <c r="E135" i="3"/>
  <c r="E136" i="3"/>
  <c r="E131" i="3"/>
  <c r="E130" i="3"/>
  <c r="E120" i="3"/>
  <c r="E119" i="3"/>
  <c r="E125" i="3"/>
  <c r="E126" i="3"/>
  <c r="E121" i="3"/>
  <c r="E122" i="3"/>
  <c r="E123" i="3"/>
  <c r="E124" i="3"/>
  <c r="E100" i="3"/>
  <c r="E102" i="3" s="1"/>
  <c r="E103" i="3"/>
  <c r="E104" i="3"/>
  <c r="E105" i="3"/>
  <c r="E106" i="3"/>
  <c r="E101" i="3"/>
  <c r="E64" i="3" l="1"/>
  <c r="E56" i="3" l="1"/>
  <c r="E57" i="3"/>
  <c r="E58" i="3"/>
  <c r="E59" i="3"/>
  <c r="E60" i="3"/>
  <c r="E61" i="3"/>
  <c r="E62" i="3"/>
  <c r="E63" i="3"/>
  <c r="E65" i="3"/>
  <c r="E66" i="3"/>
  <c r="E88" i="3"/>
  <c r="E89" i="3" s="1"/>
  <c r="E90" i="3"/>
  <c r="E81" i="3"/>
  <c r="E111" i="3"/>
  <c r="E112" i="3"/>
  <c r="E114" i="3"/>
  <c r="E115" i="3"/>
  <c r="M7" i="41"/>
  <c r="AD18" i="41"/>
  <c r="AA18" i="41"/>
  <c r="G4" i="49"/>
  <c r="E96" i="3" l="1"/>
  <c r="E95" i="3"/>
  <c r="E94" i="3"/>
  <c r="E93" i="3"/>
  <c r="E92" i="3"/>
  <c r="E91" i="3"/>
  <c r="E83" i="3"/>
  <c r="E82" i="3"/>
  <c r="E113" i="3"/>
  <c r="E4" i="49" l="1"/>
  <c r="B15" i="49"/>
  <c r="B66" i="34"/>
  <c r="G66" i="34" s="1"/>
  <c r="G50" i="34"/>
  <c r="G51" i="34"/>
  <c r="G52" i="34"/>
  <c r="G53" i="34"/>
  <c r="G54" i="34"/>
  <c r="G55" i="34"/>
  <c r="G56" i="34"/>
  <c r="G57" i="34"/>
  <c r="G58" i="34"/>
  <c r="G59" i="34"/>
  <c r="G60" i="34"/>
  <c r="E86" i="34" l="1"/>
  <c r="E74" i="34"/>
  <c r="E75" i="34"/>
  <c r="E80" i="34"/>
  <c r="E81" i="34"/>
  <c r="E73" i="34"/>
  <c r="F211" i="34" l="1"/>
  <c r="F212" i="34"/>
  <c r="F213" i="34"/>
  <c r="F214" i="34"/>
  <c r="F215" i="34"/>
  <c r="F216" i="34"/>
  <c r="F217" i="34"/>
  <c r="F218" i="34"/>
  <c r="F219" i="34"/>
  <c r="F220" i="34"/>
  <c r="F221" i="34"/>
  <c r="F210" i="34"/>
  <c r="M21" i="10" l="1"/>
  <c r="G7" i="2"/>
  <c r="N21" i="10"/>
  <c r="D38" i="62"/>
  <c r="B7" i="10"/>
  <c r="L21" i="10"/>
  <c r="AN4" i="17" l="1"/>
  <c r="AO4" i="17"/>
  <c r="AN5" i="17"/>
  <c r="AO5" i="17"/>
  <c r="AN6" i="17"/>
  <c r="AO6" i="17"/>
  <c r="AN8" i="17"/>
  <c r="AO8" i="17"/>
  <c r="AN9" i="17"/>
  <c r="AO9" i="17"/>
  <c r="AM11" i="17"/>
  <c r="AM12" i="17"/>
  <c r="AN12" i="17"/>
  <c r="AM13" i="17"/>
  <c r="AO13" i="17"/>
  <c r="AP13" i="17"/>
  <c r="AQ13" i="17"/>
  <c r="AR13" i="17"/>
  <c r="AM14" i="17"/>
  <c r="AM15" i="17"/>
  <c r="AM16" i="17"/>
  <c r="AN17" i="17"/>
  <c r="AO17" i="17"/>
  <c r="AN18" i="17"/>
  <c r="AO18" i="17"/>
  <c r="AM20" i="17"/>
  <c r="AR20" i="17"/>
  <c r="AM21" i="17"/>
  <c r="AO21" i="17"/>
  <c r="AP21" i="17"/>
  <c r="AR21" i="17"/>
  <c r="AM22" i="17"/>
  <c r="AO22" i="17"/>
  <c r="AP22" i="17"/>
  <c r="AR22" i="17"/>
  <c r="AN24" i="17"/>
  <c r="AO24" i="17"/>
  <c r="AP24" i="17"/>
  <c r="AQ24" i="17"/>
  <c r="AR24" i="17"/>
  <c r="AN25" i="17"/>
  <c r="AN27" i="17"/>
  <c r="AO27" i="17"/>
  <c r="AP27" i="17"/>
  <c r="AQ27" i="17"/>
  <c r="AR27" i="17"/>
  <c r="AN36" i="17"/>
  <c r="AO36" i="17"/>
  <c r="AP36" i="17"/>
  <c r="AQ36" i="17"/>
  <c r="AR36" i="17"/>
  <c r="AN37" i="17"/>
  <c r="AO37" i="17"/>
  <c r="AP37" i="17"/>
  <c r="AQ37" i="17"/>
  <c r="AR37" i="17"/>
  <c r="AN38" i="17"/>
  <c r="AO38" i="17"/>
  <c r="AP38" i="17"/>
  <c r="AQ38" i="17"/>
  <c r="AR38" i="17"/>
  <c r="AN39" i="17"/>
  <c r="AO39" i="17"/>
  <c r="AP39" i="17"/>
  <c r="AQ39" i="17"/>
  <c r="AR39" i="17"/>
  <c r="AN40" i="17"/>
  <c r="AO40" i="17"/>
  <c r="AP40" i="17"/>
  <c r="AQ40" i="17"/>
  <c r="AR40" i="17"/>
  <c r="AN41" i="17"/>
  <c r="AO41" i="17"/>
  <c r="AP41" i="17"/>
  <c r="AQ41" i="17"/>
  <c r="AR41" i="17"/>
  <c r="AM47" i="17"/>
  <c r="AN47" i="17"/>
  <c r="AO47" i="17"/>
  <c r="AP47" i="17"/>
  <c r="AQ47" i="17"/>
  <c r="AR47" i="17"/>
  <c r="AN3" i="17"/>
  <c r="AO3" i="17"/>
  <c r="AR53" i="17"/>
  <c r="AQ53" i="17"/>
  <c r="AP53" i="17"/>
  <c r="AO53" i="17"/>
  <c r="AN53" i="17"/>
  <c r="AM53" i="17"/>
  <c r="AR52" i="17"/>
  <c r="AQ52" i="17"/>
  <c r="AP52" i="17"/>
  <c r="AO52" i="17"/>
  <c r="AN52" i="17"/>
  <c r="AM52" i="17"/>
  <c r="AR51" i="17"/>
  <c r="AQ51" i="17"/>
  <c r="AP51" i="17"/>
  <c r="AO51" i="17"/>
  <c r="AN51" i="17"/>
  <c r="AM51" i="17"/>
  <c r="AR50" i="17"/>
  <c r="AQ50" i="17"/>
  <c r="AP50" i="17"/>
  <c r="AO50" i="17"/>
  <c r="AN50" i="17"/>
  <c r="AM50" i="17"/>
  <c r="F39" i="37" l="1"/>
  <c r="F40" i="37" s="1"/>
  <c r="U4" i="6"/>
  <c r="U3" i="6"/>
  <c r="G172" i="34" l="1"/>
  <c r="G173" i="34"/>
  <c r="G178" i="34"/>
  <c r="G179" i="34"/>
  <c r="G171" i="34"/>
  <c r="F166" i="27" l="1"/>
  <c r="G166" i="27"/>
  <c r="H166" i="27"/>
  <c r="J166" i="27"/>
  <c r="K166" i="27"/>
  <c r="L166" i="27"/>
  <c r="I166" i="27" l="1"/>
  <c r="J44" i="28" l="1"/>
  <c r="L44" i="28" s="1"/>
  <c r="H45" i="28"/>
  <c r="H46" i="28"/>
  <c r="H47" i="28"/>
  <c r="H48" i="28"/>
  <c r="H49" i="28"/>
  <c r="H44" i="28"/>
  <c r="K28" i="28"/>
  <c r="O29" i="28"/>
  <c r="K29" i="28"/>
  <c r="G29" i="28"/>
  <c r="O21" i="28"/>
  <c r="O20" i="28"/>
  <c r="K23" i="28"/>
  <c r="K22" i="28"/>
  <c r="K21" i="28"/>
  <c r="K20" i="28"/>
  <c r="G22" i="28"/>
  <c r="G20" i="28"/>
  <c r="C29" i="28"/>
  <c r="U34" i="28"/>
  <c r="J5" i="3" l="1"/>
  <c r="J6" i="3"/>
  <c r="J4" i="3"/>
  <c r="I6" i="3"/>
  <c r="I20" i="3"/>
  <c r="I21" i="3"/>
  <c r="I22" i="3"/>
  <c r="I23" i="3"/>
  <c r="I19" i="3"/>
  <c r="B7" i="18" l="1"/>
  <c r="G10" i="18"/>
  <c r="H10" i="18"/>
  <c r="H40" i="62"/>
  <c r="Z40" i="62" s="1"/>
  <c r="C40" i="62"/>
  <c r="AA40" i="62" s="1"/>
  <c r="E39" i="62"/>
  <c r="AC39" i="62" s="1"/>
  <c r="D39" i="62"/>
  <c r="AB39" i="62" s="1"/>
  <c r="AA38" i="62"/>
  <c r="U38" i="62"/>
  <c r="O38" i="62"/>
  <c r="I38" i="62"/>
  <c r="AF35" i="62"/>
  <c r="AE35" i="62"/>
  <c r="AD35" i="62"/>
  <c r="AC35" i="62"/>
  <c r="AB35" i="62"/>
  <c r="AA35" i="62"/>
  <c r="Z35" i="62"/>
  <c r="Y35" i="62"/>
  <c r="X35" i="62"/>
  <c r="W35" i="62"/>
  <c r="V35" i="62"/>
  <c r="U35" i="62"/>
  <c r="T35" i="62"/>
  <c r="S35" i="62"/>
  <c r="R35" i="62"/>
  <c r="Q35" i="62"/>
  <c r="P35" i="62"/>
  <c r="O35" i="62"/>
  <c r="N35" i="62"/>
  <c r="M35" i="62"/>
  <c r="L35" i="62"/>
  <c r="K35" i="62"/>
  <c r="J35" i="62"/>
  <c r="I35" i="62"/>
  <c r="AF32" i="62"/>
  <c r="AE32" i="62"/>
  <c r="AD32" i="62"/>
  <c r="AC32" i="62"/>
  <c r="AB32" i="62"/>
  <c r="Z32" i="62"/>
  <c r="Y32" i="62"/>
  <c r="X32" i="62"/>
  <c r="W32" i="62"/>
  <c r="V32" i="62"/>
  <c r="T32" i="62"/>
  <c r="S32" i="62"/>
  <c r="R32" i="62"/>
  <c r="Q32" i="62"/>
  <c r="P32" i="62"/>
  <c r="N32" i="62"/>
  <c r="M32" i="62"/>
  <c r="L32" i="62"/>
  <c r="K32" i="62"/>
  <c r="J32" i="62"/>
  <c r="U32" i="62"/>
  <c r="AF31" i="62"/>
  <c r="AE31" i="62"/>
  <c r="AD31" i="62"/>
  <c r="AC31" i="62"/>
  <c r="AB31" i="62"/>
  <c r="Z31" i="62"/>
  <c r="Y31" i="62"/>
  <c r="X31" i="62"/>
  <c r="W31" i="62"/>
  <c r="V31" i="62"/>
  <c r="T31" i="62"/>
  <c r="S31" i="62"/>
  <c r="R31" i="62"/>
  <c r="Q31" i="62"/>
  <c r="P31" i="62"/>
  <c r="N31" i="62"/>
  <c r="M31" i="62"/>
  <c r="L31" i="62"/>
  <c r="K31" i="62"/>
  <c r="J31" i="62"/>
  <c r="U31" i="62"/>
  <c r="AF30" i="62"/>
  <c r="AE30" i="62"/>
  <c r="AD30" i="62"/>
  <c r="AC30" i="62"/>
  <c r="AB30" i="62"/>
  <c r="Z30" i="62"/>
  <c r="Y30" i="62"/>
  <c r="X30" i="62"/>
  <c r="W30" i="62"/>
  <c r="V30" i="62"/>
  <c r="T30" i="62"/>
  <c r="S30" i="62"/>
  <c r="R30" i="62"/>
  <c r="Q30" i="62"/>
  <c r="P30" i="62"/>
  <c r="N30" i="62"/>
  <c r="M30" i="62"/>
  <c r="L30" i="62"/>
  <c r="K30" i="62"/>
  <c r="J30" i="62"/>
  <c r="U30" i="62"/>
  <c r="AF29" i="62"/>
  <c r="AE29" i="62"/>
  <c r="AD29" i="62"/>
  <c r="AC29" i="62"/>
  <c r="AB29" i="62"/>
  <c r="Z29" i="62"/>
  <c r="Y29" i="62"/>
  <c r="X29" i="62"/>
  <c r="W29" i="62"/>
  <c r="V29" i="62"/>
  <c r="T29" i="62"/>
  <c r="S29" i="62"/>
  <c r="R29" i="62"/>
  <c r="Q29" i="62"/>
  <c r="P29" i="62"/>
  <c r="N29" i="62"/>
  <c r="M29" i="62"/>
  <c r="L29" i="62"/>
  <c r="K29" i="62"/>
  <c r="J29" i="62"/>
  <c r="U29" i="62"/>
  <c r="AD28" i="62"/>
  <c r="AA28" i="62"/>
  <c r="H28" i="62"/>
  <c r="AF28" i="62" s="1"/>
  <c r="G28" i="62"/>
  <c r="D28" i="62"/>
  <c r="U28" i="62"/>
  <c r="O27" i="62"/>
  <c r="I27" i="62"/>
  <c r="R27" i="62"/>
  <c r="AC27" i="62"/>
  <c r="AA27" i="62"/>
  <c r="X26" i="62"/>
  <c r="L26" i="62"/>
  <c r="G26" i="62"/>
  <c r="AE26" i="62" s="1"/>
  <c r="AD26" i="62"/>
  <c r="Q26" i="62"/>
  <c r="D26" i="62"/>
  <c r="V26" i="62" s="1"/>
  <c r="U26" i="62"/>
  <c r="AF25" i="62"/>
  <c r="AE25" i="62"/>
  <c r="AD25" i="62"/>
  <c r="AC25" i="62"/>
  <c r="AB25" i="62"/>
  <c r="Z25" i="62"/>
  <c r="Y25" i="62"/>
  <c r="X25" i="62"/>
  <c r="W25" i="62"/>
  <c r="V25" i="62"/>
  <c r="T25" i="62"/>
  <c r="S25" i="62"/>
  <c r="R25" i="62"/>
  <c r="Q25" i="62"/>
  <c r="P25" i="62"/>
  <c r="N25" i="62"/>
  <c r="M25" i="62"/>
  <c r="L25" i="62"/>
  <c r="K25" i="62"/>
  <c r="J25" i="62"/>
  <c r="U25" i="62"/>
  <c r="H24" i="62"/>
  <c r="G24" i="62"/>
  <c r="F24" i="62"/>
  <c r="E24" i="62"/>
  <c r="K24" i="62" s="1"/>
  <c r="D24" i="62"/>
  <c r="P24" i="62" s="1"/>
  <c r="AA24" i="62"/>
  <c r="AB23" i="62"/>
  <c r="V23" i="62"/>
  <c r="P23" i="62"/>
  <c r="O23" i="62"/>
  <c r="J23" i="62"/>
  <c r="H23" i="62"/>
  <c r="AF23" i="62" s="1"/>
  <c r="G23" i="62"/>
  <c r="AE23" i="62" s="1"/>
  <c r="F23" i="62"/>
  <c r="AD23" i="62" s="1"/>
  <c r="E23" i="62"/>
  <c r="Q23" i="62" s="1"/>
  <c r="AA23" i="62"/>
  <c r="AF22" i="62"/>
  <c r="AE22" i="62"/>
  <c r="AD22" i="62"/>
  <c r="AC22" i="62"/>
  <c r="AB22" i="62"/>
  <c r="Z22" i="62"/>
  <c r="Y22" i="62"/>
  <c r="X22" i="62"/>
  <c r="W22" i="62"/>
  <c r="V22" i="62"/>
  <c r="T22" i="62"/>
  <c r="S22" i="62"/>
  <c r="R22" i="62"/>
  <c r="Q22" i="62"/>
  <c r="P22" i="62"/>
  <c r="N22" i="62"/>
  <c r="M22" i="62"/>
  <c r="L22" i="62"/>
  <c r="K22" i="62"/>
  <c r="J22" i="62"/>
  <c r="AA22" i="62"/>
  <c r="U21" i="62"/>
  <c r="I21" i="62"/>
  <c r="H21" i="62"/>
  <c r="AF21" i="62" s="1"/>
  <c r="G21" i="62"/>
  <c r="F21" i="62"/>
  <c r="E21" i="62"/>
  <c r="D21" i="62"/>
  <c r="AA21" i="62"/>
  <c r="AF20" i="62"/>
  <c r="AD20" i="62"/>
  <c r="AC20" i="62"/>
  <c r="AA20" i="62"/>
  <c r="Z20" i="62"/>
  <c r="X20" i="62"/>
  <c r="W20" i="62"/>
  <c r="U20" i="62"/>
  <c r="T20" i="62"/>
  <c r="S20" i="62"/>
  <c r="R20" i="62"/>
  <c r="Q20" i="62"/>
  <c r="O20" i="62"/>
  <c r="N20" i="62"/>
  <c r="L20" i="62"/>
  <c r="K20" i="62"/>
  <c r="I20" i="62"/>
  <c r="AE20" i="62"/>
  <c r="V20" i="62"/>
  <c r="AF19" i="62"/>
  <c r="AD19" i="62"/>
  <c r="AC19" i="62"/>
  <c r="AB19" i="62"/>
  <c r="AA19" i="62"/>
  <c r="Z19" i="62"/>
  <c r="X19" i="62"/>
  <c r="W19" i="62"/>
  <c r="U19" i="62"/>
  <c r="T19" i="62"/>
  <c r="R19" i="62"/>
  <c r="Q19" i="62"/>
  <c r="P19" i="62"/>
  <c r="O19" i="62"/>
  <c r="N19" i="62"/>
  <c r="L19" i="62"/>
  <c r="K19" i="62"/>
  <c r="I19" i="62"/>
  <c r="M19" i="62"/>
  <c r="AF18" i="62"/>
  <c r="AA18" i="62"/>
  <c r="Z18" i="62"/>
  <c r="U18" i="62"/>
  <c r="T18" i="62"/>
  <c r="O18" i="62"/>
  <c r="N18" i="62"/>
  <c r="I18" i="62"/>
  <c r="S18" i="62"/>
  <c r="W17" i="62"/>
  <c r="V17" i="62"/>
  <c r="K17" i="62"/>
  <c r="J17" i="62"/>
  <c r="I17" i="62"/>
  <c r="T17" i="62"/>
  <c r="Y17" i="62"/>
  <c r="AD17" i="62"/>
  <c r="AC17" i="62"/>
  <c r="AB17" i="62"/>
  <c r="AA17" i="62"/>
  <c r="AE16" i="62"/>
  <c r="AD16" i="62"/>
  <c r="AC16" i="62"/>
  <c r="AB16" i="62"/>
  <c r="W16" i="62"/>
  <c r="V16" i="62"/>
  <c r="T16" i="62"/>
  <c r="S16" i="62"/>
  <c r="Q16" i="62"/>
  <c r="P16" i="62"/>
  <c r="K16" i="62"/>
  <c r="J16" i="62"/>
  <c r="N16" i="62"/>
  <c r="R16" i="62"/>
  <c r="O16" i="62"/>
  <c r="AF15" i="62"/>
  <c r="AC15" i="62"/>
  <c r="AB15" i="62"/>
  <c r="AA15" i="62"/>
  <c r="Y15" i="62"/>
  <c r="W15" i="62"/>
  <c r="V15" i="62"/>
  <c r="U15" i="62"/>
  <c r="Q15" i="62"/>
  <c r="P15" i="62"/>
  <c r="O15" i="62"/>
  <c r="M15" i="62"/>
  <c r="L15" i="62"/>
  <c r="K15" i="62"/>
  <c r="J15" i="62"/>
  <c r="I15" i="62"/>
  <c r="Z15" i="62"/>
  <c r="AE15" i="62"/>
  <c r="AD15" i="62"/>
  <c r="AA14" i="62"/>
  <c r="Z14" i="62"/>
  <c r="Y14" i="62"/>
  <c r="U14" i="62"/>
  <c r="R14" i="62"/>
  <c r="O14" i="62"/>
  <c r="N14" i="62"/>
  <c r="M14" i="62"/>
  <c r="I14" i="62"/>
  <c r="AF14" i="62"/>
  <c r="AE14" i="62"/>
  <c r="L14" i="62"/>
  <c r="K14" i="62"/>
  <c r="AE13" i="62"/>
  <c r="AD13" i="62"/>
  <c r="AA13" i="62"/>
  <c r="U13" i="62"/>
  <c r="S13" i="62"/>
  <c r="O13" i="62"/>
  <c r="I13" i="62"/>
  <c r="T13" i="62"/>
  <c r="R13" i="62"/>
  <c r="AC13" i="62"/>
  <c r="AB13" i="62"/>
  <c r="AB12" i="62"/>
  <c r="AA12" i="62"/>
  <c r="Y12" i="62"/>
  <c r="U12" i="62"/>
  <c r="Q12" i="62"/>
  <c r="O12" i="62"/>
  <c r="N12" i="62"/>
  <c r="M12" i="62"/>
  <c r="L12" i="62"/>
  <c r="K12" i="62"/>
  <c r="J12" i="62"/>
  <c r="I12" i="62"/>
  <c r="AF12" i="62"/>
  <c r="AE12" i="62"/>
  <c r="AD12" i="62"/>
  <c r="AC12" i="62"/>
  <c r="V12" i="62"/>
  <c r="AC11" i="62"/>
  <c r="AB11" i="62"/>
  <c r="AA11" i="62"/>
  <c r="V11" i="62"/>
  <c r="U11" i="62"/>
  <c r="Q11" i="62"/>
  <c r="P11" i="62"/>
  <c r="O11" i="62"/>
  <c r="J11" i="62"/>
  <c r="I11" i="62"/>
  <c r="AA10" i="62"/>
  <c r="U10" i="62"/>
  <c r="T10" i="62"/>
  <c r="S10" i="62"/>
  <c r="O10" i="62"/>
  <c r="L10" i="62"/>
  <c r="K10" i="62"/>
  <c r="I10" i="62"/>
  <c r="AE10" i="62"/>
  <c r="AD10" i="62"/>
  <c r="AC10" i="62"/>
  <c r="AB10" i="62"/>
  <c r="AF9" i="62"/>
  <c r="Z9" i="62"/>
  <c r="Y9" i="62"/>
  <c r="X9" i="62"/>
  <c r="R9" i="62"/>
  <c r="Q9" i="62"/>
  <c r="T9" i="62"/>
  <c r="AE9" i="62"/>
  <c r="AC8" i="62"/>
  <c r="AB8" i="62"/>
  <c r="W8" i="62"/>
  <c r="V8" i="62"/>
  <c r="Q8" i="62"/>
  <c r="P8" i="62"/>
  <c r="K8" i="62"/>
  <c r="J8" i="62"/>
  <c r="C8" i="62"/>
  <c r="AA8" i="62" s="1"/>
  <c r="AC7" i="62"/>
  <c r="AB7" i="62"/>
  <c r="W7" i="62"/>
  <c r="V7" i="62"/>
  <c r="Q7" i="62"/>
  <c r="P7" i="62"/>
  <c r="K7" i="62"/>
  <c r="J7" i="62"/>
  <c r="C7" i="62"/>
  <c r="U7" i="62" s="1"/>
  <c r="AC5" i="62"/>
  <c r="AB5" i="62"/>
  <c r="AA5" i="62"/>
  <c r="W5" i="62"/>
  <c r="V5" i="62"/>
  <c r="T5" i="62"/>
  <c r="Q5" i="62"/>
  <c r="P5" i="62"/>
  <c r="O5" i="62"/>
  <c r="N5" i="62"/>
  <c r="K5" i="62"/>
  <c r="J5" i="62"/>
  <c r="AF5" i="62"/>
  <c r="S5" i="62"/>
  <c r="R5" i="62"/>
  <c r="I5" i="62"/>
  <c r="AC4" i="62"/>
  <c r="AB4" i="62"/>
  <c r="AA4" i="62"/>
  <c r="W4" i="62"/>
  <c r="V4" i="62"/>
  <c r="U4" i="62"/>
  <c r="T4" i="62"/>
  <c r="S4" i="62"/>
  <c r="Q4" i="62"/>
  <c r="P4" i="62"/>
  <c r="O4" i="62"/>
  <c r="K4" i="62"/>
  <c r="J4" i="62"/>
  <c r="I4" i="62"/>
  <c r="AF4" i="62"/>
  <c r="AE4" i="62"/>
  <c r="X4" i="62"/>
  <c r="AC3" i="62"/>
  <c r="AB3" i="62"/>
  <c r="AA3" i="62"/>
  <c r="W3" i="62"/>
  <c r="V3" i="62"/>
  <c r="Q3" i="62"/>
  <c r="P3" i="62"/>
  <c r="O3" i="62"/>
  <c r="N3" i="62"/>
  <c r="M3" i="62"/>
  <c r="K3" i="62"/>
  <c r="J3" i="62"/>
  <c r="Z3" i="62"/>
  <c r="Y3" i="62"/>
  <c r="AD3" i="62"/>
  <c r="H8" i="37"/>
  <c r="F8" i="37"/>
  <c r="H9" i="37"/>
  <c r="B9" i="10"/>
  <c r="F12" i="10"/>
  <c r="G12" i="10"/>
  <c r="H12" i="10"/>
  <c r="B7" i="12"/>
  <c r="V6" i="12" s="1"/>
  <c r="B9" i="12"/>
  <c r="F12" i="12"/>
  <c r="G12" i="12"/>
  <c r="H12" i="12"/>
  <c r="E12" i="12"/>
  <c r="B7" i="13"/>
  <c r="B9" i="13"/>
  <c r="E10" i="13"/>
  <c r="F10" i="13"/>
  <c r="D10" i="13"/>
  <c r="B7" i="7"/>
  <c r="G10" i="7"/>
  <c r="H10" i="7"/>
  <c r="F10" i="7"/>
  <c r="B10" i="11"/>
  <c r="V8" i="11" s="1"/>
  <c r="B12" i="11"/>
  <c r="B15" i="11"/>
  <c r="V12" i="11" s="1"/>
  <c r="F16" i="11"/>
  <c r="G16" i="11"/>
  <c r="H16" i="11"/>
  <c r="G10" i="9"/>
  <c r="H10" i="9"/>
  <c r="F10" i="9"/>
  <c r="G94" i="3"/>
  <c r="G93" i="3"/>
  <c r="G92" i="3"/>
  <c r="G91" i="3"/>
  <c r="G103" i="3"/>
  <c r="G105" i="3"/>
  <c r="G113" i="3"/>
  <c r="G116" i="3"/>
  <c r="B22" i="28" s="1"/>
  <c r="G115" i="3"/>
  <c r="G114" i="3"/>
  <c r="G205" i="3"/>
  <c r="B25" i="28" s="1"/>
  <c r="G204" i="3"/>
  <c r="G203" i="3"/>
  <c r="G202" i="3"/>
  <c r="G60" i="3"/>
  <c r="B24" i="28" s="1"/>
  <c r="G59" i="3"/>
  <c r="G57" i="3"/>
  <c r="G14" i="3"/>
  <c r="G13" i="3"/>
  <c r="G7" i="3"/>
  <c r="G6" i="3"/>
  <c r="G139" i="2"/>
  <c r="G83" i="2"/>
  <c r="G73" i="2"/>
  <c r="G66" i="2"/>
  <c r="B27" i="28" s="1"/>
  <c r="G27" i="28" s="1"/>
  <c r="G53" i="2"/>
  <c r="G43" i="2"/>
  <c r="G34" i="2"/>
  <c r="B21" i="28" s="1"/>
  <c r="G25" i="2"/>
  <c r="B26" i="28" s="1"/>
  <c r="K26" i="28" s="1"/>
  <c r="G15" i="2"/>
  <c r="B20" i="28" s="1"/>
  <c r="C20" i="28" s="1"/>
  <c r="B23" i="28" l="1"/>
  <c r="C23" i="28" s="1"/>
  <c r="C22" i="28"/>
  <c r="O22" i="28"/>
  <c r="G25" i="28"/>
  <c r="K24" i="28"/>
  <c r="C21" i="28"/>
  <c r="G21" i="28"/>
  <c r="F15" i="11"/>
  <c r="G15" i="11"/>
  <c r="H15" i="11"/>
  <c r="E15" i="11"/>
  <c r="F9" i="13"/>
  <c r="E9" i="13"/>
  <c r="D9" i="13"/>
  <c r="F9" i="10"/>
  <c r="X23" i="62"/>
  <c r="O7" i="62"/>
  <c r="M26" i="62"/>
  <c r="T21" i="62"/>
  <c r="Y26" i="62"/>
  <c r="V24" i="62"/>
  <c r="W24" i="62"/>
  <c r="R23" i="62"/>
  <c r="W39" i="62"/>
  <c r="J39" i="62"/>
  <c r="K39" i="62"/>
  <c r="P20" i="62"/>
  <c r="AB20" i="62"/>
  <c r="AB24" i="62"/>
  <c r="Z5" i="62"/>
  <c r="AF17" i="62"/>
  <c r="AE19" i="62"/>
  <c r="AC24" i="62"/>
  <c r="O26" i="62"/>
  <c r="AF13" i="62"/>
  <c r="S19" i="62"/>
  <c r="W23" i="62"/>
  <c r="W26" i="62"/>
  <c r="I24" i="62"/>
  <c r="V39" i="62"/>
  <c r="W12" i="62"/>
  <c r="AD27" i="62"/>
  <c r="Y4" i="62"/>
  <c r="Y23" i="62"/>
  <c r="L4" i="62"/>
  <c r="W10" i="62"/>
  <c r="J24" i="62"/>
  <c r="AA7" i="62"/>
  <c r="AF16" i="62"/>
  <c r="R17" i="62"/>
  <c r="E41" i="62"/>
  <c r="AC41" i="62" s="1"/>
  <c r="Q27" i="62"/>
  <c r="AD4" i="62"/>
  <c r="I7" i="62"/>
  <c r="H38" i="62"/>
  <c r="Z38" i="62" s="1"/>
  <c r="X12" i="62"/>
  <c r="S17" i="62"/>
  <c r="Y19" i="62"/>
  <c r="O22" i="62"/>
  <c r="L23" i="62"/>
  <c r="AA25" i="62"/>
  <c r="I26" i="62"/>
  <c r="AB26" i="62"/>
  <c r="O28" i="62"/>
  <c r="AA30" i="62"/>
  <c r="O31" i="62"/>
  <c r="AE17" i="62"/>
  <c r="AD5" i="62"/>
  <c r="AC14" i="62"/>
  <c r="M17" i="62"/>
  <c r="AA32" i="62"/>
  <c r="H39" i="62"/>
  <c r="T39" i="62" s="1"/>
  <c r="M4" i="62"/>
  <c r="O8" i="62"/>
  <c r="P13" i="62"/>
  <c r="J20" i="62"/>
  <c r="AA26" i="62"/>
  <c r="O32" i="62"/>
  <c r="N9" i="62"/>
  <c r="M23" i="62"/>
  <c r="AC23" i="62"/>
  <c r="Q24" i="62"/>
  <c r="O25" i="62"/>
  <c r="J26" i="62"/>
  <c r="T28" i="62"/>
  <c r="AA29" i="62"/>
  <c r="O30" i="62"/>
  <c r="V10" i="62"/>
  <c r="L17" i="62"/>
  <c r="X3" i="62"/>
  <c r="D41" i="62"/>
  <c r="AB41" i="62" s="1"/>
  <c r="Z23" i="62"/>
  <c r="AE5" i="62"/>
  <c r="X10" i="62"/>
  <c r="AD14" i="62"/>
  <c r="K23" i="62"/>
  <c r="I28" i="62"/>
  <c r="AA31" i="62"/>
  <c r="L3" i="62"/>
  <c r="J10" i="62"/>
  <c r="Z12" i="62"/>
  <c r="X15" i="62"/>
  <c r="U17" i="62"/>
  <c r="M20" i="62"/>
  <c r="Y20" i="62"/>
  <c r="N23" i="62"/>
  <c r="U24" i="62"/>
  <c r="K26" i="62"/>
  <c r="Z28" i="62"/>
  <c r="O29" i="62"/>
  <c r="X24" i="62"/>
  <c r="L24" i="62"/>
  <c r="V28" i="62"/>
  <c r="J28" i="62"/>
  <c r="Y11" i="62"/>
  <c r="M11" i="62"/>
  <c r="Y24" i="62"/>
  <c r="M24" i="62"/>
  <c r="W28" i="62"/>
  <c r="K28" i="62"/>
  <c r="AC28" i="62"/>
  <c r="V9" i="62"/>
  <c r="J9" i="62"/>
  <c r="S9" i="62"/>
  <c r="Z11" i="62"/>
  <c r="N11" i="62"/>
  <c r="Q13" i="62"/>
  <c r="T15" i="62"/>
  <c r="V18" i="62"/>
  <c r="J18" i="62"/>
  <c r="L21" i="62"/>
  <c r="F41" i="62"/>
  <c r="X21" i="62"/>
  <c r="V21" i="62"/>
  <c r="Z24" i="62"/>
  <c r="N24" i="62"/>
  <c r="X28" i="62"/>
  <c r="L28" i="62"/>
  <c r="X11" i="62"/>
  <c r="L11" i="62"/>
  <c r="Q14" i="62"/>
  <c r="W18" i="62"/>
  <c r="K18" i="62"/>
  <c r="G41" i="62"/>
  <c r="Y21" i="62"/>
  <c r="M21" i="62"/>
  <c r="W21" i="62"/>
  <c r="Y28" i="62"/>
  <c r="M28" i="62"/>
  <c r="AB28" i="62"/>
  <c r="F38" i="62"/>
  <c r="AD24" i="62"/>
  <c r="R4" i="62"/>
  <c r="AE11" i="62"/>
  <c r="Y16" i="62"/>
  <c r="M16" i="62"/>
  <c r="U16" i="62"/>
  <c r="Y18" i="62"/>
  <c r="M18" i="62"/>
  <c r="AB18" i="62"/>
  <c r="AC21" i="62"/>
  <c r="AE24" i="62"/>
  <c r="AE28" i="62"/>
  <c r="D40" i="62"/>
  <c r="W9" i="62"/>
  <c r="K9" i="62"/>
  <c r="U40" i="62"/>
  <c r="I40" i="62"/>
  <c r="Y10" i="62"/>
  <c r="AF11" i="62"/>
  <c r="P12" i="62"/>
  <c r="X13" i="62"/>
  <c r="L13" i="62"/>
  <c r="W14" i="62"/>
  <c r="AC18" i="62"/>
  <c r="J21" i="62"/>
  <c r="AD21" i="62"/>
  <c r="AF24" i="62"/>
  <c r="N28" i="62"/>
  <c r="E38" i="62"/>
  <c r="E40" i="62"/>
  <c r="X16" i="62"/>
  <c r="L16" i="62"/>
  <c r="AB21" i="62"/>
  <c r="Y13" i="62"/>
  <c r="M13" i="62"/>
  <c r="V13" i="62"/>
  <c r="X14" i="62"/>
  <c r="I16" i="62"/>
  <c r="K21" i="62"/>
  <c r="AE21" i="62"/>
  <c r="G38" i="62"/>
  <c r="G40" i="62"/>
  <c r="U8" i="62"/>
  <c r="AB9" i="62"/>
  <c r="Z10" i="62"/>
  <c r="N4" i="62"/>
  <c r="Z4" i="62"/>
  <c r="U27" i="62"/>
  <c r="M9" i="62"/>
  <c r="Z13" i="62"/>
  <c r="N13" i="62"/>
  <c r="Z16" i="62"/>
  <c r="AE18" i="62"/>
  <c r="P28" i="62"/>
  <c r="U3" i="62"/>
  <c r="I3" i="62"/>
  <c r="C39" i="62"/>
  <c r="Y5" i="62"/>
  <c r="M5" i="62"/>
  <c r="U5" i="62"/>
  <c r="I8" i="62"/>
  <c r="AD9" i="62"/>
  <c r="M10" i="62"/>
  <c r="S11" i="62"/>
  <c r="AA16" i="62"/>
  <c r="Z17" i="62"/>
  <c r="N17" i="62"/>
  <c r="X17" i="62"/>
  <c r="P18" i="62"/>
  <c r="Q21" i="62"/>
  <c r="C41" i="62"/>
  <c r="S24" i="62"/>
  <c r="P26" i="62"/>
  <c r="X27" i="62"/>
  <c r="L27" i="62"/>
  <c r="Q28" i="62"/>
  <c r="O40" i="62"/>
  <c r="X5" i="62"/>
  <c r="L5" i="62"/>
  <c r="AC9" i="62"/>
  <c r="R11" i="62"/>
  <c r="W13" i="62"/>
  <c r="P21" i="62"/>
  <c r="R24" i="62"/>
  <c r="I25" i="62"/>
  <c r="W27" i="62"/>
  <c r="K27" i="62"/>
  <c r="N10" i="62"/>
  <c r="AF10" i="62"/>
  <c r="T11" i="62"/>
  <c r="J13" i="62"/>
  <c r="N15" i="62"/>
  <c r="Q18" i="62"/>
  <c r="V19" i="62"/>
  <c r="J19" i="62"/>
  <c r="R21" i="62"/>
  <c r="I22" i="62"/>
  <c r="U22" i="62"/>
  <c r="U23" i="62"/>
  <c r="I23" i="62"/>
  <c r="T24" i="62"/>
  <c r="R28" i="62"/>
  <c r="AD11" i="62"/>
  <c r="X18" i="62"/>
  <c r="L18" i="62"/>
  <c r="F40" i="62"/>
  <c r="H41" i="62"/>
  <c r="Z21" i="62"/>
  <c r="N21" i="62"/>
  <c r="L9" i="62"/>
  <c r="AD18" i="62"/>
  <c r="G39" i="62"/>
  <c r="P9" i="62"/>
  <c r="K11" i="62"/>
  <c r="W11" i="62"/>
  <c r="K13" i="62"/>
  <c r="R18" i="62"/>
  <c r="S21" i="62"/>
  <c r="S28" i="62"/>
  <c r="T40" i="62"/>
  <c r="AF40" i="62"/>
  <c r="P39" i="62"/>
  <c r="R3" i="62"/>
  <c r="S14" i="62"/>
  <c r="AC26" i="62"/>
  <c r="Q39" i="62"/>
  <c r="S3" i="62"/>
  <c r="AE3" i="62"/>
  <c r="P10" i="62"/>
  <c r="R12" i="62"/>
  <c r="T14" i="62"/>
  <c r="O17" i="62"/>
  <c r="S23" i="62"/>
  <c r="R26" i="62"/>
  <c r="I30" i="62"/>
  <c r="F39" i="62"/>
  <c r="I29" i="62"/>
  <c r="T3" i="62"/>
  <c r="AF3" i="62"/>
  <c r="Q10" i="62"/>
  <c r="S12" i="62"/>
  <c r="R15" i="62"/>
  <c r="P17" i="62"/>
  <c r="T23" i="62"/>
  <c r="S26" i="62"/>
  <c r="I31" i="62"/>
  <c r="R10" i="62"/>
  <c r="T12" i="62"/>
  <c r="S15" i="62"/>
  <c r="Q17" i="62"/>
  <c r="O21" i="62"/>
  <c r="O24" i="62"/>
  <c r="I32" i="62"/>
  <c r="N40" i="62"/>
  <c r="G23" i="28" l="1"/>
  <c r="O23" i="28"/>
  <c r="K41" i="62"/>
  <c r="Q41" i="62"/>
  <c r="W41" i="62"/>
  <c r="V41" i="62"/>
  <c r="N39" i="62"/>
  <c r="Z39" i="62"/>
  <c r="AF39" i="62"/>
  <c r="N38" i="62"/>
  <c r="AF38" i="62"/>
  <c r="P41" i="62"/>
  <c r="T38" i="62"/>
  <c r="J41" i="62"/>
  <c r="J40" i="62"/>
  <c r="V40" i="62"/>
  <c r="P40" i="62"/>
  <c r="AB40" i="62"/>
  <c r="AA41" i="62"/>
  <c r="O41" i="62"/>
  <c r="U41" i="62"/>
  <c r="I41" i="62"/>
  <c r="V38" i="62"/>
  <c r="J38" i="62"/>
  <c r="P38" i="62"/>
  <c r="AB38" i="62"/>
  <c r="AD41" i="62"/>
  <c r="R41" i="62"/>
  <c r="X41" i="62"/>
  <c r="L41" i="62"/>
  <c r="AD39" i="62"/>
  <c r="R39" i="62"/>
  <c r="X39" i="62"/>
  <c r="L39" i="62"/>
  <c r="Y40" i="62"/>
  <c r="M40" i="62"/>
  <c r="AE40" i="62"/>
  <c r="S40" i="62"/>
  <c r="AE39" i="62"/>
  <c r="S39" i="62"/>
  <c r="M39" i="62"/>
  <c r="Y39" i="62"/>
  <c r="X40" i="62"/>
  <c r="L40" i="62"/>
  <c r="AD40" i="62"/>
  <c r="R40" i="62"/>
  <c r="Y38" i="62"/>
  <c r="M38" i="62"/>
  <c r="S38" i="62"/>
  <c r="AE38" i="62"/>
  <c r="AE41" i="62"/>
  <c r="S41" i="62"/>
  <c r="Y41" i="62"/>
  <c r="M41" i="62"/>
  <c r="W38" i="62"/>
  <c r="K38" i="62"/>
  <c r="Q38" i="62"/>
  <c r="AC38" i="62"/>
  <c r="AA39" i="62"/>
  <c r="O39" i="62"/>
  <c r="U39" i="62"/>
  <c r="I39" i="62"/>
  <c r="X38" i="62"/>
  <c r="L38" i="62"/>
  <c r="AD38" i="62"/>
  <c r="R38" i="62"/>
  <c r="AF41" i="62"/>
  <c r="T41" i="62"/>
  <c r="Z41" i="62"/>
  <c r="N41" i="62"/>
  <c r="W40" i="62"/>
  <c r="K40" i="62"/>
  <c r="Q40" i="62"/>
  <c r="AC40" i="62"/>
  <c r="G78" i="34" l="1"/>
  <c r="Q113" i="3" l="1"/>
  <c r="Q114" i="3" s="1"/>
  <c r="Q202" i="3"/>
  <c r="Q203" i="3" s="1"/>
  <c r="Q82" i="3"/>
  <c r="Q83" i="3" s="1"/>
  <c r="Q57" i="3"/>
  <c r="P8" i="6"/>
  <c r="N8" i="6"/>
  <c r="N4" i="6"/>
  <c r="P5" i="6" s="1"/>
  <c r="N5" i="6" l="1"/>
  <c r="O5" i="6"/>
  <c r="L7" i="7"/>
  <c r="N7" i="7"/>
  <c r="M7" i="7"/>
  <c r="G6" i="28"/>
  <c r="B2" i="28"/>
  <c r="C10" i="28" s="1"/>
  <c r="H17" i="41" l="1"/>
  <c r="K15" i="61" l="1"/>
  <c r="K16" i="61"/>
  <c r="K14" i="61"/>
  <c r="C8" i="61" s="1"/>
  <c r="K13" i="61"/>
  <c r="D9" i="61" s="1"/>
  <c r="K12" i="61"/>
  <c r="L10" i="61" s="1"/>
  <c r="K11" i="61"/>
  <c r="K10" i="61"/>
  <c r="B7" i="61" l="1"/>
  <c r="F11" i="61"/>
  <c r="G29" i="43" l="1"/>
  <c r="I29" i="43"/>
  <c r="H14" i="27"/>
  <c r="J18" i="61" s="1"/>
  <c r="K18" i="61" s="1"/>
  <c r="E12" i="61" l="1"/>
  <c r="F12" i="61"/>
  <c r="C12" i="61"/>
  <c r="F6" i="60" l="1"/>
  <c r="F7" i="60"/>
  <c r="F5" i="60"/>
  <c r="F8" i="60"/>
  <c r="F9" i="60"/>
  <c r="F10" i="60"/>
  <c r="F11" i="60"/>
  <c r="F12" i="60"/>
  <c r="B12" i="60" l="1"/>
  <c r="B11" i="60"/>
  <c r="B5" i="60"/>
  <c r="F163" i="27"/>
  <c r="G163" i="27"/>
  <c r="H163" i="27"/>
  <c r="J163" i="27"/>
  <c r="K163" i="27"/>
  <c r="L163" i="27"/>
  <c r="G164" i="27"/>
  <c r="H164" i="27"/>
  <c r="J164" i="27"/>
  <c r="K164" i="27"/>
  <c r="L164" i="27"/>
  <c r="I163" i="27" l="1"/>
  <c r="D11" i="60" s="1"/>
  <c r="J36" i="17" l="1"/>
  <c r="K36" i="17"/>
  <c r="L36" i="17"/>
  <c r="M36" i="17"/>
  <c r="N36" i="17"/>
  <c r="P36" i="17"/>
  <c r="Q36" i="17"/>
  <c r="R36" i="17"/>
  <c r="S36" i="17"/>
  <c r="T36" i="17"/>
  <c r="V36" i="17"/>
  <c r="W36" i="17"/>
  <c r="X36" i="17"/>
  <c r="Y36" i="17"/>
  <c r="Z36" i="17"/>
  <c r="AB36" i="17"/>
  <c r="AC36" i="17"/>
  <c r="AD36" i="17"/>
  <c r="AE36" i="17"/>
  <c r="AF36" i="17"/>
  <c r="J37" i="17"/>
  <c r="K37" i="17"/>
  <c r="L37" i="17"/>
  <c r="M37" i="17"/>
  <c r="N37" i="17"/>
  <c r="P37" i="17"/>
  <c r="Q37" i="17"/>
  <c r="R37" i="17"/>
  <c r="S37" i="17"/>
  <c r="T37" i="17"/>
  <c r="V37" i="17"/>
  <c r="W37" i="17"/>
  <c r="X37" i="17"/>
  <c r="Y37" i="17"/>
  <c r="Z37" i="17"/>
  <c r="AB37" i="17"/>
  <c r="AC37" i="17"/>
  <c r="AD37" i="17"/>
  <c r="AE37" i="17"/>
  <c r="AF37" i="17"/>
  <c r="J38" i="17"/>
  <c r="K38" i="17"/>
  <c r="L38" i="17"/>
  <c r="M38" i="17"/>
  <c r="N38" i="17"/>
  <c r="P38" i="17"/>
  <c r="Q38" i="17"/>
  <c r="R38" i="17"/>
  <c r="S38" i="17"/>
  <c r="T38" i="17"/>
  <c r="V38" i="17"/>
  <c r="W38" i="17"/>
  <c r="X38" i="17"/>
  <c r="Y38" i="17"/>
  <c r="Z38" i="17"/>
  <c r="AB38" i="17"/>
  <c r="AC38" i="17"/>
  <c r="AD38" i="17"/>
  <c r="AE38" i="17"/>
  <c r="AF38" i="17"/>
  <c r="J39" i="17"/>
  <c r="K39" i="17"/>
  <c r="L39" i="17"/>
  <c r="M39" i="17"/>
  <c r="N39" i="17"/>
  <c r="P39" i="17"/>
  <c r="Q39" i="17"/>
  <c r="R39" i="17"/>
  <c r="S39" i="17"/>
  <c r="T39" i="17"/>
  <c r="V39" i="17"/>
  <c r="W39" i="17"/>
  <c r="X39" i="17"/>
  <c r="Y39" i="17"/>
  <c r="Z39" i="17"/>
  <c r="AB39" i="17"/>
  <c r="AC39" i="17"/>
  <c r="AD39" i="17"/>
  <c r="AE39" i="17"/>
  <c r="AF39" i="17"/>
  <c r="J40" i="17"/>
  <c r="K40" i="17"/>
  <c r="L40" i="17"/>
  <c r="M40" i="17"/>
  <c r="N40" i="17"/>
  <c r="P40" i="17"/>
  <c r="Q40" i="17"/>
  <c r="R40" i="17"/>
  <c r="S40" i="17"/>
  <c r="T40" i="17"/>
  <c r="V40" i="17"/>
  <c r="W40" i="17"/>
  <c r="X40" i="17"/>
  <c r="Y40" i="17"/>
  <c r="Z40" i="17"/>
  <c r="AB40" i="17"/>
  <c r="AC40" i="17"/>
  <c r="AD40" i="17"/>
  <c r="AE40" i="17"/>
  <c r="AF40" i="17"/>
  <c r="J41" i="17"/>
  <c r="K41" i="17"/>
  <c r="L41" i="17"/>
  <c r="M41" i="17"/>
  <c r="N41" i="17"/>
  <c r="P41" i="17"/>
  <c r="Q41" i="17"/>
  <c r="R41" i="17"/>
  <c r="S41" i="17"/>
  <c r="T41" i="17"/>
  <c r="V41" i="17"/>
  <c r="W41" i="17"/>
  <c r="X41" i="17"/>
  <c r="Y41" i="17"/>
  <c r="Z41" i="17"/>
  <c r="AB41" i="17"/>
  <c r="AC41" i="17"/>
  <c r="AD41" i="17"/>
  <c r="AE41" i="17"/>
  <c r="AF41" i="17"/>
  <c r="I47" i="17"/>
  <c r="J47" i="17"/>
  <c r="K47" i="17"/>
  <c r="L47" i="17"/>
  <c r="M47" i="17"/>
  <c r="N47" i="17"/>
  <c r="O47" i="17"/>
  <c r="P47" i="17"/>
  <c r="Q47" i="17"/>
  <c r="R47" i="17"/>
  <c r="S47" i="17"/>
  <c r="T47" i="17"/>
  <c r="U47" i="17"/>
  <c r="V47" i="17"/>
  <c r="W47" i="17"/>
  <c r="X47" i="17"/>
  <c r="Y47" i="17"/>
  <c r="Z47" i="17"/>
  <c r="AA47" i="17"/>
  <c r="AB47" i="17"/>
  <c r="AC47" i="17"/>
  <c r="AD47" i="17"/>
  <c r="AE47" i="17"/>
  <c r="AF47" i="17"/>
  <c r="R36" i="56"/>
  <c r="U36" i="56"/>
  <c r="V36" i="56"/>
  <c r="R37" i="56"/>
  <c r="U37" i="56"/>
  <c r="V37" i="56"/>
  <c r="K36" i="56"/>
  <c r="N36" i="56"/>
  <c r="O36" i="56"/>
  <c r="K37" i="56"/>
  <c r="N37" i="56"/>
  <c r="O37" i="56"/>
  <c r="K23" i="6" l="1"/>
  <c r="L23" i="6"/>
  <c r="M23" i="6"/>
  <c r="J23" i="6"/>
  <c r="L8" i="6"/>
  <c r="J7" i="6"/>
  <c r="J8" i="6"/>
  <c r="K7" i="6"/>
  <c r="L7" i="6" s="1"/>
  <c r="F167" i="27"/>
  <c r="F168" i="27"/>
  <c r="F169" i="27"/>
  <c r="G167" i="27"/>
  <c r="G168" i="27"/>
  <c r="G169" i="27"/>
  <c r="H167" i="27"/>
  <c r="H168" i="27"/>
  <c r="H169" i="27"/>
  <c r="J167" i="27"/>
  <c r="J168" i="27"/>
  <c r="J169" i="27"/>
  <c r="K167" i="27"/>
  <c r="K168" i="27"/>
  <c r="K169" i="27"/>
  <c r="L167" i="27"/>
  <c r="L168" i="27"/>
  <c r="L169" i="27"/>
  <c r="BV18" i="41"/>
  <c r="BW4" i="41"/>
  <c r="F165" i="27"/>
  <c r="G165" i="27"/>
  <c r="H165" i="27"/>
  <c r="J165" i="27"/>
  <c r="K165" i="27"/>
  <c r="L165" i="27"/>
  <c r="I168" i="27" l="1"/>
  <c r="L12" i="6" s="1"/>
  <c r="I167" i="27"/>
  <c r="J11" i="6" s="1"/>
  <c r="I169" i="27"/>
  <c r="L13" i="6" s="1"/>
  <c r="J13" i="6"/>
  <c r="I165" i="27"/>
  <c r="BR24" i="41" s="1"/>
  <c r="BV8" i="41" l="1"/>
  <c r="BV9" i="41"/>
  <c r="BV10" i="41"/>
  <c r="BV11" i="41"/>
  <c r="BV12" i="41"/>
  <c r="BV13" i="41"/>
  <c r="BV14" i="41"/>
  <c r="BV15" i="41"/>
  <c r="BV16" i="41"/>
  <c r="BV17" i="41"/>
  <c r="BV19" i="41"/>
  <c r="BV20" i="41"/>
  <c r="BV21" i="41"/>
  <c r="BV22" i="41"/>
  <c r="BV23" i="41"/>
  <c r="BV24" i="41"/>
  <c r="BS24" i="41"/>
  <c r="BS21" i="41"/>
  <c r="BS20" i="41"/>
  <c r="BS22" i="41"/>
  <c r="BS23" i="41"/>
  <c r="BS7" i="41" l="1"/>
  <c r="BQ4" i="41"/>
  <c r="BU7" i="41"/>
  <c r="BS8" i="41"/>
  <c r="BS9" i="41"/>
  <c r="BS10" i="41"/>
  <c r="BS11" i="41"/>
  <c r="BS12" i="41"/>
  <c r="BS13" i="41"/>
  <c r="BS14" i="41"/>
  <c r="BS15" i="41"/>
  <c r="BS16" i="41"/>
  <c r="BS17" i="41"/>
  <c r="BS18" i="41"/>
  <c r="BS19" i="41"/>
  <c r="BU20" i="41"/>
  <c r="D77" i="56" l="1"/>
  <c r="E77" i="56"/>
  <c r="F77" i="56"/>
  <c r="G77" i="56"/>
  <c r="D76" i="56"/>
  <c r="E76" i="56"/>
  <c r="F76" i="56"/>
  <c r="G76" i="56"/>
  <c r="D75" i="56"/>
  <c r="E75" i="56"/>
  <c r="F75" i="56"/>
  <c r="G75" i="56"/>
  <c r="D74" i="56"/>
  <c r="E74" i="56"/>
  <c r="F74" i="56"/>
  <c r="G74" i="56"/>
  <c r="D73" i="56"/>
  <c r="E73" i="56"/>
  <c r="F73" i="56"/>
  <c r="G73" i="56"/>
  <c r="K27" i="17" l="1"/>
  <c r="B80" i="2"/>
  <c r="B157" i="2"/>
  <c r="E157" i="2" s="1"/>
  <c r="E155" i="2"/>
  <c r="E156" i="2"/>
  <c r="BH22" i="41" l="1"/>
  <c r="BH16" i="41"/>
  <c r="BH17" i="41"/>
  <c r="BH18" i="41"/>
  <c r="BH19" i="41"/>
  <c r="BH20" i="41"/>
  <c r="BH8" i="41"/>
  <c r="BH9" i="41"/>
  <c r="BH10" i="41"/>
  <c r="BH11" i="41"/>
  <c r="BH12" i="41"/>
  <c r="BH13" i="41"/>
  <c r="BH14" i="41"/>
  <c r="BH15" i="41"/>
  <c r="BK8" i="41"/>
  <c r="BK9" i="41"/>
  <c r="BK10" i="41"/>
  <c r="BK11" i="41"/>
  <c r="BK12" i="41"/>
  <c r="BK13" i="41"/>
  <c r="BK14" i="41"/>
  <c r="BK7" i="41"/>
  <c r="F159" i="27"/>
  <c r="F152" i="27"/>
  <c r="G152" i="27"/>
  <c r="H152" i="27"/>
  <c r="K152" i="27"/>
  <c r="L152" i="27"/>
  <c r="F153" i="27"/>
  <c r="G153" i="27"/>
  <c r="H153" i="27"/>
  <c r="K153" i="27"/>
  <c r="L153" i="27"/>
  <c r="F154" i="27"/>
  <c r="G154" i="27"/>
  <c r="H154" i="27"/>
  <c r="J154" i="27"/>
  <c r="K154" i="27"/>
  <c r="L154" i="27"/>
  <c r="F155" i="27"/>
  <c r="G155" i="27"/>
  <c r="H155" i="27"/>
  <c r="K155" i="27"/>
  <c r="L155" i="27"/>
  <c r="F156" i="27"/>
  <c r="G156" i="27"/>
  <c r="H156" i="27"/>
  <c r="K156" i="27"/>
  <c r="L156" i="27"/>
  <c r="F157" i="27"/>
  <c r="G157" i="27"/>
  <c r="H157" i="27"/>
  <c r="K157" i="27"/>
  <c r="L157" i="27"/>
  <c r="F158" i="27"/>
  <c r="G158" i="27"/>
  <c r="H158" i="27"/>
  <c r="J158" i="27"/>
  <c r="K158" i="27"/>
  <c r="L158" i="27"/>
  <c r="G159" i="27"/>
  <c r="H159" i="27"/>
  <c r="J159" i="27"/>
  <c r="K159" i="27"/>
  <c r="L159" i="27"/>
  <c r="F161" i="27"/>
  <c r="G161" i="27"/>
  <c r="H161" i="27"/>
  <c r="K161" i="27"/>
  <c r="L161" i="27"/>
  <c r="F162" i="27"/>
  <c r="G162" i="27"/>
  <c r="H162" i="27"/>
  <c r="K162" i="27"/>
  <c r="L162" i="27"/>
  <c r="I157" i="27" l="1"/>
  <c r="I155" i="27"/>
  <c r="I153" i="27"/>
  <c r="I158" i="27"/>
  <c r="I156" i="27"/>
  <c r="I154" i="27"/>
  <c r="I152" i="27"/>
  <c r="I162" i="27"/>
  <c r="I161" i="27"/>
  <c r="F9" i="6" s="1"/>
  <c r="I159" i="27"/>
  <c r="AV4" i="8" s="1"/>
  <c r="AF18" i="41" l="1"/>
  <c r="Z18" i="41"/>
  <c r="AC18" i="41"/>
  <c r="D216" i="34"/>
  <c r="D170" i="2"/>
  <c r="BK15" i="41"/>
  <c r="BH21" i="41"/>
  <c r="BK20" i="41"/>
  <c r="BK19" i="41"/>
  <c r="BK18" i="41"/>
  <c r="BK17" i="41"/>
  <c r="BK16" i="41"/>
  <c r="BH7" i="41"/>
  <c r="BL4" i="41"/>
  <c r="BF4" i="41"/>
  <c r="K85" i="2" l="1"/>
  <c r="M85" i="2" s="1"/>
  <c r="J87" i="2"/>
  <c r="D72" i="56" l="1"/>
  <c r="E72" i="56"/>
  <c r="F72" i="56"/>
  <c r="G72" i="56"/>
  <c r="D71" i="56"/>
  <c r="E71" i="56"/>
  <c r="F71" i="56"/>
  <c r="G71" i="56"/>
  <c r="D70" i="56"/>
  <c r="E70" i="56"/>
  <c r="F70" i="56"/>
  <c r="G70" i="56"/>
  <c r="D69" i="56"/>
  <c r="E69" i="56"/>
  <c r="F69" i="56"/>
  <c r="G69" i="56"/>
  <c r="D68" i="56"/>
  <c r="E68" i="56"/>
  <c r="F68" i="56"/>
  <c r="G68" i="56"/>
  <c r="G58" i="56"/>
  <c r="G59" i="56"/>
  <c r="G60" i="56"/>
  <c r="G61" i="56"/>
  <c r="G62" i="56"/>
  <c r="G63" i="56"/>
  <c r="G64" i="56"/>
  <c r="G65" i="56"/>
  <c r="G66" i="56"/>
  <c r="G67" i="56"/>
  <c r="G57" i="56"/>
  <c r="F58" i="56"/>
  <c r="F59" i="56"/>
  <c r="F60" i="56"/>
  <c r="F61" i="56"/>
  <c r="F62" i="56"/>
  <c r="F63" i="56"/>
  <c r="F64" i="56"/>
  <c r="F65" i="56"/>
  <c r="F66" i="56"/>
  <c r="F67" i="56"/>
  <c r="F57" i="56"/>
  <c r="E58" i="56"/>
  <c r="E59" i="56"/>
  <c r="E60" i="56"/>
  <c r="E61" i="56"/>
  <c r="E62" i="56"/>
  <c r="E63" i="56"/>
  <c r="E64" i="56"/>
  <c r="E65" i="56"/>
  <c r="E66" i="56"/>
  <c r="E67" i="56"/>
  <c r="E57" i="56"/>
  <c r="D58" i="56"/>
  <c r="D59" i="56"/>
  <c r="D60" i="56"/>
  <c r="D61" i="56"/>
  <c r="D62" i="56"/>
  <c r="D63" i="56"/>
  <c r="D64" i="56"/>
  <c r="D65" i="56"/>
  <c r="D66" i="56"/>
  <c r="D67" i="56"/>
  <c r="D57" i="56"/>
  <c r="K5" i="56"/>
  <c r="R5" i="56" s="1"/>
  <c r="L5" i="56"/>
  <c r="S5" i="56" s="1"/>
  <c r="K6" i="56"/>
  <c r="R6" i="56" s="1"/>
  <c r="L6" i="56"/>
  <c r="S6" i="56" s="1"/>
  <c r="K7" i="56"/>
  <c r="R7" i="56" s="1"/>
  <c r="L7" i="56"/>
  <c r="S7" i="56" s="1"/>
  <c r="K8" i="56"/>
  <c r="R8" i="56" s="1"/>
  <c r="L8" i="56"/>
  <c r="S8" i="56" s="1"/>
  <c r="K9" i="56"/>
  <c r="R9" i="56" s="1"/>
  <c r="L9" i="56"/>
  <c r="S9" i="56" s="1"/>
  <c r="J11" i="56"/>
  <c r="Q11" i="56" s="1"/>
  <c r="J12" i="56"/>
  <c r="Q12" i="56" s="1"/>
  <c r="K12" i="56"/>
  <c r="R12" i="56" s="1"/>
  <c r="J13" i="56"/>
  <c r="Q13" i="56" s="1"/>
  <c r="L13" i="56"/>
  <c r="S13" i="56" s="1"/>
  <c r="M13" i="56"/>
  <c r="T13" i="56" s="1"/>
  <c r="N13" i="56"/>
  <c r="U13" i="56" s="1"/>
  <c r="O13" i="56"/>
  <c r="V13" i="56" s="1"/>
  <c r="J14" i="56"/>
  <c r="Q14" i="56" s="1"/>
  <c r="J15" i="56"/>
  <c r="Q15" i="56" s="1"/>
  <c r="J16" i="56"/>
  <c r="Q16" i="56" s="1"/>
  <c r="J17" i="56"/>
  <c r="Q17" i="56" s="1"/>
  <c r="K17" i="56"/>
  <c r="R17" i="56" s="1"/>
  <c r="L17" i="56"/>
  <c r="S17" i="56" s="1"/>
  <c r="K18" i="56"/>
  <c r="R18" i="56" s="1"/>
  <c r="L18" i="56"/>
  <c r="S18" i="56" s="1"/>
  <c r="K19" i="56"/>
  <c r="R19" i="56" s="1"/>
  <c r="L19" i="56"/>
  <c r="S19" i="56" s="1"/>
  <c r="N19" i="56"/>
  <c r="U19" i="56" s="1"/>
  <c r="J20" i="56"/>
  <c r="Q20" i="56" s="1"/>
  <c r="L20" i="56"/>
  <c r="S20" i="56" s="1"/>
  <c r="M20" i="56"/>
  <c r="T20" i="56" s="1"/>
  <c r="O20" i="56"/>
  <c r="V20" i="56" s="1"/>
  <c r="J21" i="56"/>
  <c r="Q21" i="56" s="1"/>
  <c r="L21" i="56"/>
  <c r="S21" i="56" s="1"/>
  <c r="M21" i="56"/>
  <c r="T21" i="56" s="1"/>
  <c r="O21" i="56"/>
  <c r="V21" i="56" s="1"/>
  <c r="J22" i="56"/>
  <c r="Q22" i="56" s="1"/>
  <c r="L22" i="56"/>
  <c r="S22" i="56" s="1"/>
  <c r="M22" i="56"/>
  <c r="T22" i="56" s="1"/>
  <c r="O22" i="56"/>
  <c r="V22" i="56" s="1"/>
  <c r="K25" i="56"/>
  <c r="R25" i="56" s="1"/>
  <c r="O25" i="56"/>
  <c r="V25" i="56" s="1"/>
  <c r="K26" i="56"/>
  <c r="R26" i="56" s="1"/>
  <c r="K27" i="56"/>
  <c r="R27" i="56" s="1"/>
  <c r="L27" i="56"/>
  <c r="S27" i="56" s="1"/>
  <c r="M27" i="56"/>
  <c r="T27" i="56" s="1"/>
  <c r="N27" i="56"/>
  <c r="U27" i="56" s="1"/>
  <c r="O27" i="56"/>
  <c r="V27" i="56" s="1"/>
  <c r="K28" i="56"/>
  <c r="R28" i="56" s="1"/>
  <c r="N28" i="56"/>
  <c r="U28" i="56" s="1"/>
  <c r="K30" i="56"/>
  <c r="R30" i="56" s="1"/>
  <c r="N30" i="56"/>
  <c r="U30" i="56" s="1"/>
  <c r="O30" i="56"/>
  <c r="V30" i="56" s="1"/>
  <c r="K31" i="56"/>
  <c r="R31" i="56" s="1"/>
  <c r="N31" i="56"/>
  <c r="U31" i="56" s="1"/>
  <c r="O31" i="56"/>
  <c r="V31" i="56" s="1"/>
  <c r="J32" i="56"/>
  <c r="Q32" i="56" s="1"/>
  <c r="K32" i="56"/>
  <c r="R32" i="56" s="1"/>
  <c r="L32" i="56"/>
  <c r="S32" i="56" s="1"/>
  <c r="M32" i="56"/>
  <c r="T32" i="56" s="1"/>
  <c r="N32" i="56"/>
  <c r="U32" i="56" s="1"/>
  <c r="O32" i="56"/>
  <c r="V32" i="56" s="1"/>
  <c r="J33" i="56"/>
  <c r="Q33" i="56" s="1"/>
  <c r="K33" i="56"/>
  <c r="R33" i="56" s="1"/>
  <c r="L33" i="56"/>
  <c r="S33" i="56" s="1"/>
  <c r="M33" i="56"/>
  <c r="T33" i="56" s="1"/>
  <c r="N33" i="56"/>
  <c r="U33" i="56" s="1"/>
  <c r="O33" i="56"/>
  <c r="V33" i="56" s="1"/>
  <c r="J34" i="56"/>
  <c r="Q34" i="56" s="1"/>
  <c r="K34" i="56"/>
  <c r="R34" i="56" s="1"/>
  <c r="L34" i="56"/>
  <c r="S34" i="56" s="1"/>
  <c r="M34" i="56"/>
  <c r="T34" i="56" s="1"/>
  <c r="N34" i="56"/>
  <c r="U34" i="56" s="1"/>
  <c r="O34" i="56"/>
  <c r="V34" i="56" s="1"/>
  <c r="K35" i="56"/>
  <c r="R35" i="56" s="1"/>
  <c r="N35" i="56"/>
  <c r="U35" i="56" s="1"/>
  <c r="O35" i="56"/>
  <c r="V35" i="56" s="1"/>
  <c r="J40" i="56"/>
  <c r="Q40" i="56" s="1"/>
  <c r="K41" i="56"/>
  <c r="R41" i="56" s="1"/>
  <c r="J43" i="56"/>
  <c r="Q43" i="56" s="1"/>
  <c r="L43" i="56"/>
  <c r="S43" i="56" s="1"/>
  <c r="K4" i="56"/>
  <c r="R4" i="56" s="1"/>
  <c r="L4" i="56"/>
  <c r="S4" i="56" s="1"/>
  <c r="H43" i="56"/>
  <c r="O43" i="56" s="1"/>
  <c r="V43" i="56" s="1"/>
  <c r="F43" i="56"/>
  <c r="M43" i="56" s="1"/>
  <c r="T43" i="56" s="1"/>
  <c r="E43" i="56"/>
  <c r="C43" i="56"/>
  <c r="E41" i="56"/>
  <c r="L41" i="56" s="1"/>
  <c r="S41" i="56" s="1"/>
  <c r="D41" i="56"/>
  <c r="H29" i="56"/>
  <c r="O29" i="56" s="1"/>
  <c r="V29" i="56" s="1"/>
  <c r="G29" i="56"/>
  <c r="G42" i="56" s="1"/>
  <c r="N42" i="56" s="1"/>
  <c r="U42" i="56" s="1"/>
  <c r="D29" i="56"/>
  <c r="D42" i="56" s="1"/>
  <c r="K42" i="56" s="1"/>
  <c r="R42" i="56" s="1"/>
  <c r="H28" i="56"/>
  <c r="H26" i="56"/>
  <c r="O26" i="56" s="1"/>
  <c r="V26" i="56" s="1"/>
  <c r="G26" i="56"/>
  <c r="N26" i="56" s="1"/>
  <c r="U26" i="56" s="1"/>
  <c r="F26" i="56"/>
  <c r="M26" i="56" s="1"/>
  <c r="T26" i="56" s="1"/>
  <c r="E26" i="56"/>
  <c r="L26" i="56" s="1"/>
  <c r="S26" i="56" s="1"/>
  <c r="D26" i="56"/>
  <c r="H25" i="56"/>
  <c r="G25" i="56"/>
  <c r="N25" i="56" s="1"/>
  <c r="U25" i="56" s="1"/>
  <c r="F25" i="56"/>
  <c r="M25" i="56" s="1"/>
  <c r="T25" i="56" s="1"/>
  <c r="E25" i="56"/>
  <c r="L25" i="56" s="1"/>
  <c r="S25" i="56" s="1"/>
  <c r="O24" i="56"/>
  <c r="V24" i="56" s="1"/>
  <c r="N24" i="56"/>
  <c r="U24" i="56" s="1"/>
  <c r="M24" i="56"/>
  <c r="T24" i="56" s="1"/>
  <c r="L24" i="56"/>
  <c r="S24" i="56" s="1"/>
  <c r="H23" i="56"/>
  <c r="O23" i="56" s="1"/>
  <c r="V23" i="56" s="1"/>
  <c r="G23" i="56"/>
  <c r="N23" i="56" s="1"/>
  <c r="U23" i="56" s="1"/>
  <c r="F23" i="56"/>
  <c r="M23" i="56" s="1"/>
  <c r="T23" i="56" s="1"/>
  <c r="E23" i="56"/>
  <c r="L23" i="56" s="1"/>
  <c r="S23" i="56" s="1"/>
  <c r="D23" i="56"/>
  <c r="K23" i="56" s="1"/>
  <c r="R23" i="56" s="1"/>
  <c r="H19" i="56"/>
  <c r="O19" i="56" s="1"/>
  <c r="V19" i="56" s="1"/>
  <c r="C9" i="56"/>
  <c r="J9" i="56" s="1"/>
  <c r="Q9" i="56" s="1"/>
  <c r="C8" i="56"/>
  <c r="J8" i="56" s="1"/>
  <c r="Q8" i="56" s="1"/>
  <c r="D19" i="17"/>
  <c r="AN19" i="17" s="1"/>
  <c r="E19" i="17"/>
  <c r="AO19" i="17" s="1"/>
  <c r="G19" i="17"/>
  <c r="AQ19" i="17" s="1"/>
  <c r="H19" i="17"/>
  <c r="AR19" i="17" s="1"/>
  <c r="H19" i="42"/>
  <c r="D28" i="17"/>
  <c r="AN28" i="17" s="1"/>
  <c r="G28" i="17"/>
  <c r="AQ28" i="17" s="1"/>
  <c r="D30" i="17"/>
  <c r="AN30" i="17" s="1"/>
  <c r="G30" i="17"/>
  <c r="AQ30" i="17" s="1"/>
  <c r="H30" i="17"/>
  <c r="AR30" i="17" s="1"/>
  <c r="D31" i="17"/>
  <c r="G31" i="17"/>
  <c r="H31" i="17"/>
  <c r="C32" i="17"/>
  <c r="D32" i="17"/>
  <c r="E32" i="17"/>
  <c r="F32" i="17"/>
  <c r="G32" i="17"/>
  <c r="H32" i="17"/>
  <c r="D33" i="17"/>
  <c r="G33" i="17"/>
  <c r="H33" i="17"/>
  <c r="C34" i="17"/>
  <c r="AM34" i="17" s="1"/>
  <c r="D34" i="17"/>
  <c r="E34" i="17"/>
  <c r="F34" i="17"/>
  <c r="G34" i="17"/>
  <c r="H34" i="17"/>
  <c r="D35" i="17"/>
  <c r="G35" i="17"/>
  <c r="H35" i="17"/>
  <c r="AZ7" i="8"/>
  <c r="H7" i="55"/>
  <c r="G7" i="55"/>
  <c r="F7" i="55"/>
  <c r="E7" i="55"/>
  <c r="H6" i="55"/>
  <c r="G6" i="55"/>
  <c r="F6" i="55"/>
  <c r="E6" i="55"/>
  <c r="H5" i="55"/>
  <c r="G5" i="55"/>
  <c r="F5" i="55"/>
  <c r="E5" i="55"/>
  <c r="L24" i="9"/>
  <c r="G130" i="3"/>
  <c r="N133" i="3" s="1"/>
  <c r="O305" i="3"/>
  <c r="B314" i="3" s="1"/>
  <c r="B309" i="3"/>
  <c r="B308" i="3"/>
  <c r="B307" i="3"/>
  <c r="B306" i="3"/>
  <c r="J305" i="3"/>
  <c r="J306" i="3" s="1"/>
  <c r="K305" i="3"/>
  <c r="K306" i="3" s="1"/>
  <c r="L305" i="3"/>
  <c r="L306" i="3" s="1"/>
  <c r="M305" i="3"/>
  <c r="M306" i="3" s="1"/>
  <c r="N305" i="3"/>
  <c r="N306" i="3" s="1"/>
  <c r="P305" i="3"/>
  <c r="P306" i="3" s="1"/>
  <c r="J289" i="3"/>
  <c r="J290" i="3" s="1"/>
  <c r="K289" i="3"/>
  <c r="K290" i="3" s="1"/>
  <c r="L289" i="3"/>
  <c r="L290" i="3" s="1"/>
  <c r="M289" i="3"/>
  <c r="M290" i="3" s="1"/>
  <c r="N289" i="3"/>
  <c r="N290" i="3" s="1"/>
  <c r="O289" i="3"/>
  <c r="O290" i="3" s="1"/>
  <c r="B294" i="3"/>
  <c r="B293" i="3"/>
  <c r="B290" i="3"/>
  <c r="P289" i="3"/>
  <c r="P290" i="3" s="1"/>
  <c r="J275" i="3"/>
  <c r="J276" i="3" s="1"/>
  <c r="K275" i="3"/>
  <c r="K276" i="3" s="1"/>
  <c r="L275" i="3"/>
  <c r="L276" i="3" s="1"/>
  <c r="M275" i="3"/>
  <c r="M276" i="3" s="1"/>
  <c r="N275" i="3"/>
  <c r="N276" i="3" s="1"/>
  <c r="O275" i="3"/>
  <c r="B282" i="3" s="1"/>
  <c r="B280" i="3"/>
  <c r="B279" i="3"/>
  <c r="B276" i="3"/>
  <c r="P275" i="3"/>
  <c r="P276" i="3" s="1"/>
  <c r="B267" i="3"/>
  <c r="B266" i="3"/>
  <c r="B263" i="3"/>
  <c r="J252" i="3"/>
  <c r="J253" i="3" s="1"/>
  <c r="K252" i="3"/>
  <c r="K253" i="3" s="1"/>
  <c r="L252" i="3"/>
  <c r="M252" i="3"/>
  <c r="N252" i="3"/>
  <c r="N253" i="3" s="1"/>
  <c r="P262" i="3"/>
  <c r="P263" i="3" s="1"/>
  <c r="O262" i="3"/>
  <c r="O263" i="3" s="1"/>
  <c r="N262" i="3"/>
  <c r="N263" i="3" s="1"/>
  <c r="M262" i="3"/>
  <c r="M263" i="3" s="1"/>
  <c r="L262" i="3"/>
  <c r="L263" i="3" s="1"/>
  <c r="K262" i="3"/>
  <c r="K263" i="3" s="1"/>
  <c r="J262" i="3"/>
  <c r="J263" i="3" s="1"/>
  <c r="B253" i="3"/>
  <c r="B255" i="3"/>
  <c r="O251" i="3"/>
  <c r="P252" i="3"/>
  <c r="P253" i="3" s="1"/>
  <c r="L222" i="3"/>
  <c r="J222" i="3"/>
  <c r="K222" i="3"/>
  <c r="M222" i="3"/>
  <c r="N222" i="3"/>
  <c r="O222" i="3"/>
  <c r="O233" i="3"/>
  <c r="K233" i="3"/>
  <c r="K234" i="3" s="1"/>
  <c r="L233" i="3"/>
  <c r="M233" i="3"/>
  <c r="M234" i="3" s="1"/>
  <c r="N233" i="3"/>
  <c r="N234" i="3" s="1"/>
  <c r="J233" i="3"/>
  <c r="J234" i="3" s="1"/>
  <c r="P233" i="3"/>
  <c r="P234" i="3" s="1"/>
  <c r="B73" i="2"/>
  <c r="B72" i="2"/>
  <c r="K34" i="17" l="1"/>
  <c r="AO34" i="17"/>
  <c r="J33" i="17"/>
  <c r="AN33" i="17"/>
  <c r="M31" i="17"/>
  <c r="AQ31" i="17"/>
  <c r="T35" i="17"/>
  <c r="AR35" i="17"/>
  <c r="T32" i="17"/>
  <c r="AR32" i="17"/>
  <c r="P34" i="17"/>
  <c r="AN34" i="17"/>
  <c r="N33" i="17"/>
  <c r="AR33" i="17"/>
  <c r="M32" i="17"/>
  <c r="AQ32" i="17"/>
  <c r="Y33" i="17"/>
  <c r="AQ33" i="17"/>
  <c r="R32" i="17"/>
  <c r="AP32" i="17"/>
  <c r="AB31" i="17"/>
  <c r="AN31" i="17"/>
  <c r="N34" i="17"/>
  <c r="AR34" i="17"/>
  <c r="K32" i="17"/>
  <c r="AO32" i="17"/>
  <c r="N31" i="17"/>
  <c r="AR31" i="17"/>
  <c r="S35" i="17"/>
  <c r="AQ35" i="17"/>
  <c r="M34" i="17"/>
  <c r="AQ34" i="17"/>
  <c r="P32" i="17"/>
  <c r="AN32" i="17"/>
  <c r="AB35" i="17"/>
  <c r="AN35" i="17"/>
  <c r="L34" i="17"/>
  <c r="AP34" i="17"/>
  <c r="I32" i="17"/>
  <c r="AM32" i="17"/>
  <c r="S33" i="17"/>
  <c r="M33" i="17"/>
  <c r="AA34" i="17"/>
  <c r="I34" i="17"/>
  <c r="D44" i="56"/>
  <c r="K44" i="56" s="1"/>
  <c r="R44" i="56" s="1"/>
  <c r="AF31" i="17"/>
  <c r="AE31" i="17"/>
  <c r="N35" i="17"/>
  <c r="M35" i="17"/>
  <c r="AF34" i="17"/>
  <c r="AF33" i="17"/>
  <c r="AE33" i="17"/>
  <c r="T34" i="17"/>
  <c r="Z33" i="17"/>
  <c r="Z31" i="17"/>
  <c r="U34" i="17"/>
  <c r="AA32" i="17"/>
  <c r="V32" i="17"/>
  <c r="R34" i="17"/>
  <c r="O32" i="17"/>
  <c r="Y31" i="17"/>
  <c r="AC34" i="17"/>
  <c r="O34" i="17"/>
  <c r="J32" i="17"/>
  <c r="AE34" i="17"/>
  <c r="S34" i="17"/>
  <c r="U32" i="17"/>
  <c r="J34" i="17"/>
  <c r="H42" i="56"/>
  <c r="O42" i="56" s="1"/>
  <c r="V42" i="56" s="1"/>
  <c r="N29" i="56"/>
  <c r="U29" i="56" s="1"/>
  <c r="K24" i="56"/>
  <c r="R24" i="56" s="1"/>
  <c r="O28" i="56"/>
  <c r="V28" i="56" s="1"/>
  <c r="E44" i="56"/>
  <c r="L44" i="56" s="1"/>
  <c r="S44" i="56" s="1"/>
  <c r="F44" i="56"/>
  <c r="M44" i="56" s="1"/>
  <c r="T44" i="56" s="1"/>
  <c r="Q34" i="17"/>
  <c r="AD34" i="17"/>
  <c r="V34" i="17"/>
  <c r="AF32" i="17"/>
  <c r="AF35" i="17"/>
  <c r="AB34" i="17"/>
  <c r="AB32" i="17"/>
  <c r="V31" i="17"/>
  <c r="AE32" i="17"/>
  <c r="AD32" i="17"/>
  <c r="T31" i="17"/>
  <c r="Z35" i="17"/>
  <c r="Z34" i="17"/>
  <c r="T33" i="17"/>
  <c r="Z32" i="17"/>
  <c r="N32" i="17"/>
  <c r="S31" i="17"/>
  <c r="AB33" i="17"/>
  <c r="Q32" i="17"/>
  <c r="AE35" i="17"/>
  <c r="V33" i="17"/>
  <c r="Y35" i="17"/>
  <c r="Y32" i="17"/>
  <c r="X34" i="17"/>
  <c r="P33" i="17"/>
  <c r="X32" i="17"/>
  <c r="L32" i="17"/>
  <c r="S32" i="17"/>
  <c r="AC32" i="17"/>
  <c r="Y34" i="17"/>
  <c r="W34" i="17"/>
  <c r="W32" i="17"/>
  <c r="G44" i="56"/>
  <c r="N44" i="56" s="1"/>
  <c r="U44" i="56" s="1"/>
  <c r="H44" i="56"/>
  <c r="O44" i="56" s="1"/>
  <c r="V44" i="56" s="1"/>
  <c r="P31" i="17"/>
  <c r="J31" i="17"/>
  <c r="P35" i="17"/>
  <c r="K29" i="56"/>
  <c r="R29" i="56" s="1"/>
  <c r="V35" i="17"/>
  <c r="J35" i="17"/>
  <c r="O306" i="3"/>
  <c r="B298" i="3"/>
  <c r="B297" i="3"/>
  <c r="O276" i="3"/>
  <c r="O252" i="3"/>
  <c r="O253" i="3" s="1"/>
  <c r="L253" i="3"/>
  <c r="M253" i="3"/>
  <c r="O234" i="3"/>
  <c r="L234" i="3"/>
  <c r="K46" i="3" l="1"/>
  <c r="K57" i="3"/>
  <c r="K73" i="3"/>
  <c r="K82" i="3"/>
  <c r="K91" i="3"/>
  <c r="K103" i="3"/>
  <c r="K113" i="3"/>
  <c r="K122" i="3"/>
  <c r="K143" i="3"/>
  <c r="K183" i="3"/>
  <c r="J202" i="3"/>
  <c r="J192" i="3"/>
  <c r="K192" i="3"/>
  <c r="L192" i="3"/>
  <c r="M192" i="3"/>
  <c r="N192" i="3"/>
  <c r="O192" i="3"/>
  <c r="N202" i="3"/>
  <c r="K202" i="3"/>
  <c r="L202" i="3"/>
  <c r="M202" i="3"/>
  <c r="O202" i="3"/>
  <c r="P222" i="3" l="1"/>
  <c r="P223" i="3" s="1"/>
  <c r="O223" i="3"/>
  <c r="N223" i="3"/>
  <c r="L223" i="3"/>
  <c r="K223" i="3"/>
  <c r="M223" i="3" l="1"/>
  <c r="J223" i="3"/>
  <c r="H8" i="41" l="1"/>
  <c r="H7" i="41"/>
  <c r="E17" i="41"/>
  <c r="E210" i="3" l="1"/>
  <c r="E211" i="3"/>
  <c r="E212" i="3"/>
  <c r="E213" i="3"/>
  <c r="E214" i="3"/>
  <c r="E215" i="3"/>
  <c r="E209" i="3"/>
  <c r="AW7" i="41"/>
  <c r="AR6" i="8" l="1"/>
  <c r="AR7" i="8"/>
  <c r="AN6" i="8"/>
  <c r="AN7" i="8"/>
  <c r="F93" i="27"/>
  <c r="G93" i="27"/>
  <c r="H93" i="27"/>
  <c r="J93" i="27"/>
  <c r="K93" i="27"/>
  <c r="L93" i="27"/>
  <c r="F94" i="27"/>
  <c r="G94" i="27"/>
  <c r="H94" i="27"/>
  <c r="J94" i="27"/>
  <c r="K94" i="27"/>
  <c r="L94" i="27"/>
  <c r="F90" i="27"/>
  <c r="F91" i="27"/>
  <c r="F92" i="27"/>
  <c r="J91" i="27"/>
  <c r="K91" i="27"/>
  <c r="L91" i="27"/>
  <c r="G92" i="27"/>
  <c r="J92" i="27"/>
  <c r="K92" i="27"/>
  <c r="L92" i="27"/>
  <c r="AW9" i="41"/>
  <c r="AW10" i="41"/>
  <c r="AW11" i="41"/>
  <c r="AW12" i="41"/>
  <c r="AW13" i="41"/>
  <c r="AW14" i="41"/>
  <c r="AW15" i="41"/>
  <c r="AW8" i="41"/>
  <c r="BA4" i="41"/>
  <c r="AU4" i="41"/>
  <c r="AP4" i="41"/>
  <c r="AO8" i="41"/>
  <c r="AO9" i="41"/>
  <c r="AO10" i="41"/>
  <c r="AO11" i="41"/>
  <c r="AO12" i="41"/>
  <c r="AO13" i="41"/>
  <c r="AO15" i="41"/>
  <c r="AL8" i="41"/>
  <c r="AL9" i="41"/>
  <c r="AL10" i="41"/>
  <c r="AL11" i="41"/>
  <c r="AL12" i="41"/>
  <c r="AL13" i="41"/>
  <c r="AL14" i="41"/>
  <c r="AL15" i="41"/>
  <c r="AL16" i="41"/>
  <c r="AL7" i="41"/>
  <c r="AJ4" i="41"/>
  <c r="AD10" i="41"/>
  <c r="AD11" i="41"/>
  <c r="AD12" i="41"/>
  <c r="AD13" i="41"/>
  <c r="AD14" i="41"/>
  <c r="AD15" i="41"/>
  <c r="AD17" i="41"/>
  <c r="AA10" i="41"/>
  <c r="AA11" i="41"/>
  <c r="AA12" i="41"/>
  <c r="AA13" i="41"/>
  <c r="AA14" i="41"/>
  <c r="AA15" i="41"/>
  <c r="AA16" i="41"/>
  <c r="AA17" i="41"/>
  <c r="C4" i="41"/>
  <c r="N4" i="41"/>
  <c r="Y4" i="41"/>
  <c r="S8" i="41"/>
  <c r="S9" i="41"/>
  <c r="S10" i="41"/>
  <c r="S11" i="41"/>
  <c r="S12" i="41"/>
  <c r="S13" i="41"/>
  <c r="S14" i="41"/>
  <c r="S16" i="41"/>
  <c r="S17" i="41"/>
  <c r="S18" i="41"/>
  <c r="P8" i="41"/>
  <c r="P9" i="41"/>
  <c r="P10" i="41"/>
  <c r="P11" i="41"/>
  <c r="P12" i="41"/>
  <c r="P13" i="41"/>
  <c r="P14" i="41"/>
  <c r="P15" i="41"/>
  <c r="P16" i="41"/>
  <c r="P17" i="41"/>
  <c r="P18" i="41"/>
  <c r="I93" i="27" l="1"/>
  <c r="AN5" i="8" s="1"/>
  <c r="I94" i="27"/>
  <c r="AR5" i="8" s="1"/>
  <c r="E8" i="41" l="1"/>
  <c r="E9" i="41"/>
  <c r="E10" i="41"/>
  <c r="E11" i="41"/>
  <c r="E12" i="41"/>
  <c r="E13" i="41"/>
  <c r="E14" i="41"/>
  <c r="E15" i="41"/>
  <c r="E16" i="41"/>
  <c r="E18" i="41"/>
  <c r="E7" i="41"/>
  <c r="H9" i="41"/>
  <c r="H10" i="41"/>
  <c r="H11" i="41"/>
  <c r="H12" i="41"/>
  <c r="H13" i="41"/>
  <c r="H14" i="41"/>
  <c r="H18" i="41"/>
  <c r="S7" i="41" l="1"/>
  <c r="P7" i="41"/>
  <c r="J9" i="27" l="1"/>
  <c r="G9" i="27"/>
  <c r="G8" i="27"/>
  <c r="F9" i="27"/>
  <c r="F8" i="27"/>
  <c r="L9" i="27"/>
  <c r="K9" i="27"/>
  <c r="H9" i="27"/>
  <c r="H8" i="27"/>
  <c r="I9" i="27" l="1"/>
  <c r="BR23" i="41" s="1"/>
  <c r="D157" i="2" l="1"/>
  <c r="BX24" i="41"/>
  <c r="BU24" i="41"/>
  <c r="AZ9" i="41"/>
  <c r="AT16" i="41"/>
  <c r="B145" i="2"/>
  <c r="AZ16" i="41" l="1"/>
  <c r="AW16" i="41"/>
  <c r="AZ7" i="41"/>
  <c r="AZ8" i="41"/>
  <c r="AZ10" i="41"/>
  <c r="AZ11" i="41"/>
  <c r="AZ12" i="41"/>
  <c r="AZ13" i="41"/>
  <c r="AZ14" i="41"/>
  <c r="D145" i="2"/>
  <c r="AS1" i="41"/>
  <c r="AV16" i="41" l="1"/>
  <c r="BB16" i="41"/>
  <c r="AY16" i="41"/>
  <c r="W1" i="41" l="1"/>
  <c r="G135" i="2" l="1"/>
  <c r="B138" i="2"/>
  <c r="B93" i="3"/>
  <c r="N15" i="11" l="1"/>
  <c r="H12" i="11" s="1"/>
  <c r="B115" i="3"/>
  <c r="J4" i="27" l="1"/>
  <c r="J7" i="27"/>
  <c r="J12" i="27"/>
  <c r="J13" i="27"/>
  <c r="J14" i="27"/>
  <c r="J15" i="27"/>
  <c r="J16" i="27"/>
  <c r="J17" i="27"/>
  <c r="J19" i="27"/>
  <c r="J20" i="27"/>
  <c r="J25" i="27"/>
  <c r="J26" i="27"/>
  <c r="J34" i="27"/>
  <c r="J35" i="27"/>
  <c r="J36" i="27"/>
  <c r="J41" i="27"/>
  <c r="J51" i="27"/>
  <c r="J52" i="27"/>
  <c r="J53" i="27"/>
  <c r="J63" i="27"/>
  <c r="J71" i="27"/>
  <c r="J75" i="27"/>
  <c r="J87" i="27"/>
  <c r="J90" i="27"/>
  <c r="J95" i="27"/>
  <c r="J101" i="27"/>
  <c r="J111" i="27"/>
  <c r="J112" i="27"/>
  <c r="J125" i="27"/>
  <c r="J129" i="27"/>
  <c r="J130" i="27"/>
  <c r="J131" i="27"/>
  <c r="J132" i="27"/>
  <c r="J133" i="27"/>
  <c r="J134" i="27"/>
  <c r="J135" i="27"/>
  <c r="J136" i="27"/>
  <c r="J137" i="27"/>
  <c r="J138" i="27"/>
  <c r="J139" i="27"/>
  <c r="J140" i="27"/>
  <c r="J141" i="27"/>
  <c r="J143" i="27"/>
  <c r="J144" i="27"/>
  <c r="J145" i="27"/>
  <c r="K3" i="27"/>
  <c r="K4" i="27"/>
  <c r="K5" i="27"/>
  <c r="K6" i="27"/>
  <c r="K7" i="27"/>
  <c r="K8" i="27"/>
  <c r="K10" i="27"/>
  <c r="K11" i="27"/>
  <c r="K12" i="27"/>
  <c r="K13" i="27"/>
  <c r="K14" i="27"/>
  <c r="K15" i="27"/>
  <c r="K16" i="27"/>
  <c r="K17" i="27"/>
  <c r="K18" i="27"/>
  <c r="K19" i="27"/>
  <c r="K20" i="27"/>
  <c r="K21" i="27"/>
  <c r="K22" i="27"/>
  <c r="K23" i="27"/>
  <c r="K24" i="27"/>
  <c r="K25" i="27"/>
  <c r="K26" i="27"/>
  <c r="K27" i="27"/>
  <c r="K28" i="27"/>
  <c r="K29" i="27"/>
  <c r="K30" i="27"/>
  <c r="K31" i="27"/>
  <c r="K32" i="27"/>
  <c r="K33" i="27"/>
  <c r="K34" i="27"/>
  <c r="K35" i="27"/>
  <c r="K36" i="27"/>
  <c r="K37" i="27"/>
  <c r="K38" i="27"/>
  <c r="K39" i="27"/>
  <c r="K40" i="27"/>
  <c r="K41" i="27"/>
  <c r="K42" i="27"/>
  <c r="K43" i="27"/>
  <c r="K44" i="27"/>
  <c r="K45" i="27"/>
  <c r="K46" i="27"/>
  <c r="K47" i="27"/>
  <c r="K48" i="27"/>
  <c r="K49" i="27"/>
  <c r="K50" i="27"/>
  <c r="K51" i="27"/>
  <c r="K52" i="27"/>
  <c r="K53" i="27"/>
  <c r="K54" i="27"/>
  <c r="K55" i="27"/>
  <c r="K56" i="27"/>
  <c r="K57" i="27"/>
  <c r="K58" i="27"/>
  <c r="K59" i="27"/>
  <c r="K60" i="27"/>
  <c r="K61" i="27"/>
  <c r="K62" i="27"/>
  <c r="K63" i="27"/>
  <c r="K64" i="27"/>
  <c r="K65" i="27"/>
  <c r="K66" i="27"/>
  <c r="K67" i="27"/>
  <c r="K68" i="27"/>
  <c r="K69" i="27"/>
  <c r="K70" i="27"/>
  <c r="K71" i="27"/>
  <c r="K72" i="27"/>
  <c r="K73" i="27"/>
  <c r="K74" i="27"/>
  <c r="K75" i="27"/>
  <c r="K76" i="27"/>
  <c r="K77" i="27"/>
  <c r="K78" i="27"/>
  <c r="K79" i="27"/>
  <c r="K80" i="27"/>
  <c r="K81" i="27"/>
  <c r="K82" i="27"/>
  <c r="K83" i="27"/>
  <c r="K84" i="27"/>
  <c r="K85" i="27"/>
  <c r="K86" i="27"/>
  <c r="K87" i="27"/>
  <c r="K88" i="27"/>
  <c r="K89" i="27"/>
  <c r="K90" i="27"/>
  <c r="K95" i="27"/>
  <c r="K96" i="27"/>
  <c r="K97" i="27"/>
  <c r="K98" i="27"/>
  <c r="K99" i="27"/>
  <c r="K100" i="27"/>
  <c r="K101" i="27"/>
  <c r="K102" i="27"/>
  <c r="K103" i="27"/>
  <c r="K104" i="27"/>
  <c r="K105" i="27"/>
  <c r="K106" i="27"/>
  <c r="K107" i="27"/>
  <c r="K108" i="27"/>
  <c r="K109" i="27"/>
  <c r="K110" i="27"/>
  <c r="K111" i="27"/>
  <c r="K112" i="27"/>
  <c r="K113" i="27"/>
  <c r="K114" i="27"/>
  <c r="K115" i="27"/>
  <c r="K116" i="27"/>
  <c r="K117" i="27"/>
  <c r="K118" i="27"/>
  <c r="K119" i="27"/>
  <c r="K120" i="27"/>
  <c r="K121" i="27"/>
  <c r="K122" i="27"/>
  <c r="K123" i="27"/>
  <c r="K124" i="27"/>
  <c r="K125" i="27"/>
  <c r="K126" i="27"/>
  <c r="K127" i="27"/>
  <c r="K128" i="27"/>
  <c r="K129" i="27"/>
  <c r="K130" i="27"/>
  <c r="K131" i="27"/>
  <c r="K132" i="27"/>
  <c r="K133" i="27"/>
  <c r="K134" i="27"/>
  <c r="K135" i="27"/>
  <c r="K136" i="27"/>
  <c r="K137" i="27"/>
  <c r="K138" i="27"/>
  <c r="K139" i="27"/>
  <c r="K140" i="27"/>
  <c r="K141" i="27"/>
  <c r="K142" i="27"/>
  <c r="K143" i="27"/>
  <c r="K144" i="27"/>
  <c r="K145" i="27"/>
  <c r="K146" i="27"/>
  <c r="K147" i="27"/>
  <c r="K148" i="27"/>
  <c r="K149" i="27"/>
  <c r="K150" i="27"/>
  <c r="K151" i="27"/>
  <c r="L3" i="27"/>
  <c r="L4" i="27"/>
  <c r="L5" i="27"/>
  <c r="L6" i="27"/>
  <c r="L7" i="27"/>
  <c r="L8" i="27"/>
  <c r="L10" i="27"/>
  <c r="L11" i="27"/>
  <c r="L12" i="27"/>
  <c r="L13" i="27"/>
  <c r="L14" i="27"/>
  <c r="L15" i="27"/>
  <c r="L16" i="27"/>
  <c r="L17" i="27"/>
  <c r="L18" i="27"/>
  <c r="L19" i="27"/>
  <c r="L20" i="27"/>
  <c r="L21" i="27"/>
  <c r="L22" i="27"/>
  <c r="L23" i="27"/>
  <c r="L24" i="27"/>
  <c r="L25" i="27"/>
  <c r="L26" i="27"/>
  <c r="L27" i="27"/>
  <c r="L28" i="27"/>
  <c r="L29" i="27"/>
  <c r="L30" i="27"/>
  <c r="L31" i="27"/>
  <c r="L32" i="27"/>
  <c r="L33" i="27"/>
  <c r="L34" i="27"/>
  <c r="L35" i="27"/>
  <c r="L36" i="27"/>
  <c r="L37" i="27"/>
  <c r="L38" i="27"/>
  <c r="L39" i="27"/>
  <c r="L40" i="27"/>
  <c r="L41" i="27"/>
  <c r="L42" i="27"/>
  <c r="L43" i="27"/>
  <c r="L44" i="27"/>
  <c r="L45" i="27"/>
  <c r="L46" i="27"/>
  <c r="L47" i="27"/>
  <c r="L48" i="27"/>
  <c r="L49" i="27"/>
  <c r="L50" i="27"/>
  <c r="L51" i="27"/>
  <c r="L52" i="27"/>
  <c r="L53" i="27"/>
  <c r="L54" i="27"/>
  <c r="L55" i="27"/>
  <c r="L56" i="27"/>
  <c r="L57" i="27"/>
  <c r="L58" i="27"/>
  <c r="L59" i="27"/>
  <c r="L60" i="27"/>
  <c r="L61" i="27"/>
  <c r="L62" i="27"/>
  <c r="L63" i="27"/>
  <c r="L64" i="27"/>
  <c r="L65" i="27"/>
  <c r="L66" i="27"/>
  <c r="L67" i="27"/>
  <c r="L68" i="27"/>
  <c r="L69" i="27"/>
  <c r="L70" i="27"/>
  <c r="L71" i="27"/>
  <c r="L72" i="27"/>
  <c r="L73" i="27"/>
  <c r="L74" i="27"/>
  <c r="L75" i="27"/>
  <c r="L76" i="27"/>
  <c r="L77" i="27"/>
  <c r="L78" i="27"/>
  <c r="L79" i="27"/>
  <c r="L80" i="27"/>
  <c r="L81" i="27"/>
  <c r="L82" i="27"/>
  <c r="L83" i="27"/>
  <c r="L84" i="27"/>
  <c r="L85" i="27"/>
  <c r="L86" i="27"/>
  <c r="L87" i="27"/>
  <c r="L88" i="27"/>
  <c r="L89" i="27"/>
  <c r="L90" i="27"/>
  <c r="L95" i="27"/>
  <c r="L96" i="27"/>
  <c r="L97" i="27"/>
  <c r="L98" i="27"/>
  <c r="L99" i="27"/>
  <c r="L100" i="27"/>
  <c r="L101" i="27"/>
  <c r="L102" i="27"/>
  <c r="L103" i="27"/>
  <c r="L104" i="27"/>
  <c r="L105" i="27"/>
  <c r="L106" i="27"/>
  <c r="L107" i="27"/>
  <c r="L108" i="27"/>
  <c r="L109" i="27"/>
  <c r="L110" i="27"/>
  <c r="L111" i="27"/>
  <c r="L112" i="27"/>
  <c r="L113" i="27"/>
  <c r="L114" i="27"/>
  <c r="L115" i="27"/>
  <c r="L116" i="27"/>
  <c r="L117" i="27"/>
  <c r="L118" i="27"/>
  <c r="L119" i="27"/>
  <c r="L120" i="27"/>
  <c r="L121" i="27"/>
  <c r="L122" i="27"/>
  <c r="L123" i="27"/>
  <c r="L124" i="27"/>
  <c r="L125" i="27"/>
  <c r="L126" i="27"/>
  <c r="L127" i="27"/>
  <c r="L128" i="27"/>
  <c r="L129" i="27"/>
  <c r="L130" i="27"/>
  <c r="L131" i="27"/>
  <c r="L132" i="27"/>
  <c r="L133" i="27"/>
  <c r="L134" i="27"/>
  <c r="L135" i="27"/>
  <c r="L136" i="27"/>
  <c r="L137" i="27"/>
  <c r="L138" i="27"/>
  <c r="L139" i="27"/>
  <c r="L140" i="27"/>
  <c r="L141" i="27"/>
  <c r="L142" i="27"/>
  <c r="L143" i="27"/>
  <c r="L144" i="27"/>
  <c r="L145" i="27"/>
  <c r="L146" i="27"/>
  <c r="L147" i="27"/>
  <c r="L148" i="27"/>
  <c r="L149" i="27"/>
  <c r="L150" i="27"/>
  <c r="L151" i="27"/>
  <c r="P202" i="3" l="1"/>
  <c r="P203" i="3" s="1"/>
  <c r="O203" i="3"/>
  <c r="N203" i="3"/>
  <c r="M203" i="3"/>
  <c r="L203" i="3"/>
  <c r="K203" i="3"/>
  <c r="J203" i="3"/>
  <c r="H3" i="27" l="1"/>
  <c r="F23" i="27" l="1"/>
  <c r="G23" i="27"/>
  <c r="H23" i="27"/>
  <c r="F24" i="27"/>
  <c r="G24" i="27"/>
  <c r="H24" i="27"/>
  <c r="F25" i="27"/>
  <c r="G25" i="27"/>
  <c r="H25" i="27"/>
  <c r="F26" i="27"/>
  <c r="G26" i="27"/>
  <c r="H26" i="27"/>
  <c r="F27" i="27"/>
  <c r="G27" i="27"/>
  <c r="H27" i="27"/>
  <c r="F28" i="27"/>
  <c r="G28" i="27"/>
  <c r="H28" i="27"/>
  <c r="F29" i="27"/>
  <c r="G29" i="27"/>
  <c r="H29" i="27"/>
  <c r="F30" i="27"/>
  <c r="G30" i="27"/>
  <c r="H30" i="27"/>
  <c r="F31" i="27"/>
  <c r="G31" i="27"/>
  <c r="H31" i="27"/>
  <c r="F32" i="27"/>
  <c r="G32" i="27"/>
  <c r="H32" i="27"/>
  <c r="F33" i="27"/>
  <c r="G33" i="27"/>
  <c r="H33" i="27"/>
  <c r="F34" i="27"/>
  <c r="G34" i="27"/>
  <c r="H34" i="27"/>
  <c r="F35" i="27"/>
  <c r="G35" i="27"/>
  <c r="H35" i="27"/>
  <c r="F36" i="27"/>
  <c r="G36" i="27"/>
  <c r="H36" i="27"/>
  <c r="F37" i="27"/>
  <c r="G37" i="27"/>
  <c r="H37" i="27"/>
  <c r="F38" i="27"/>
  <c r="G38" i="27"/>
  <c r="H38" i="27"/>
  <c r="F39" i="27"/>
  <c r="G39" i="27"/>
  <c r="H39" i="27"/>
  <c r="F40" i="27"/>
  <c r="G40" i="27"/>
  <c r="H40" i="27"/>
  <c r="F41" i="27"/>
  <c r="G41" i="27"/>
  <c r="H41" i="27"/>
  <c r="F42" i="27"/>
  <c r="G42" i="27"/>
  <c r="H42" i="27"/>
  <c r="F43" i="27"/>
  <c r="G43" i="27"/>
  <c r="H43" i="27"/>
  <c r="F44" i="27"/>
  <c r="G44" i="27"/>
  <c r="H44" i="27"/>
  <c r="F45" i="27"/>
  <c r="G45" i="27"/>
  <c r="H45" i="27"/>
  <c r="F46" i="27"/>
  <c r="G46" i="27"/>
  <c r="H46" i="27"/>
  <c r="F47" i="27"/>
  <c r="G47" i="27"/>
  <c r="H47" i="27"/>
  <c r="F48" i="27"/>
  <c r="G48" i="27"/>
  <c r="H48" i="27"/>
  <c r="F49" i="27"/>
  <c r="G49" i="27"/>
  <c r="H49" i="27"/>
  <c r="F50" i="27"/>
  <c r="G50" i="27"/>
  <c r="H50" i="27"/>
  <c r="F51" i="27"/>
  <c r="G51" i="27"/>
  <c r="H51" i="27"/>
  <c r="F52" i="27"/>
  <c r="G52" i="27"/>
  <c r="H52" i="27"/>
  <c r="F53" i="27"/>
  <c r="G53" i="27"/>
  <c r="H53" i="27"/>
  <c r="F54" i="27"/>
  <c r="G54" i="27"/>
  <c r="H54" i="27"/>
  <c r="F55" i="27"/>
  <c r="G55" i="27"/>
  <c r="H55" i="27"/>
  <c r="F56" i="27"/>
  <c r="G56" i="27"/>
  <c r="H56" i="27"/>
  <c r="F57" i="27"/>
  <c r="G57" i="27"/>
  <c r="H57" i="27"/>
  <c r="F58" i="27"/>
  <c r="G58" i="27"/>
  <c r="H58" i="27"/>
  <c r="F59" i="27"/>
  <c r="G59" i="27"/>
  <c r="H59" i="27"/>
  <c r="F60" i="27"/>
  <c r="G60" i="27"/>
  <c r="H60" i="27"/>
  <c r="F61" i="27"/>
  <c r="G61" i="27"/>
  <c r="H61" i="27"/>
  <c r="F62" i="27"/>
  <c r="G62" i="27"/>
  <c r="H62" i="27"/>
  <c r="F63" i="27"/>
  <c r="G63" i="27"/>
  <c r="H63" i="27"/>
  <c r="F64" i="27"/>
  <c r="G64" i="27"/>
  <c r="H64" i="27"/>
  <c r="F65" i="27"/>
  <c r="G65" i="27"/>
  <c r="H65" i="27"/>
  <c r="F66" i="27"/>
  <c r="G66" i="27"/>
  <c r="H66" i="27"/>
  <c r="F67" i="27"/>
  <c r="G67" i="27"/>
  <c r="H67" i="27"/>
  <c r="F68" i="27"/>
  <c r="G68" i="27"/>
  <c r="H68" i="27"/>
  <c r="F69" i="27"/>
  <c r="G69" i="27"/>
  <c r="H69" i="27"/>
  <c r="F70" i="27"/>
  <c r="G70" i="27"/>
  <c r="H70" i="27"/>
  <c r="F71" i="27"/>
  <c r="G71" i="27"/>
  <c r="H71" i="27"/>
  <c r="F72" i="27"/>
  <c r="G72" i="27"/>
  <c r="H72" i="27"/>
  <c r="F73" i="27"/>
  <c r="G73" i="27"/>
  <c r="H73" i="27"/>
  <c r="F74" i="27"/>
  <c r="G74" i="27"/>
  <c r="H74" i="27"/>
  <c r="F75" i="27"/>
  <c r="G75" i="27"/>
  <c r="H75" i="27"/>
  <c r="F76" i="27"/>
  <c r="G76" i="27"/>
  <c r="H76" i="27"/>
  <c r="F77" i="27"/>
  <c r="G77" i="27"/>
  <c r="H77" i="27"/>
  <c r="F78" i="27"/>
  <c r="G78" i="27"/>
  <c r="H78" i="27"/>
  <c r="F79" i="27"/>
  <c r="G79" i="27"/>
  <c r="H79" i="27"/>
  <c r="F80" i="27"/>
  <c r="G80" i="27"/>
  <c r="H80" i="27"/>
  <c r="F81" i="27"/>
  <c r="G81" i="27"/>
  <c r="H81" i="27"/>
  <c r="F82" i="27"/>
  <c r="G82" i="27"/>
  <c r="H82" i="27"/>
  <c r="F83" i="27"/>
  <c r="G83" i="27"/>
  <c r="H83" i="27"/>
  <c r="F84" i="27"/>
  <c r="G84" i="27"/>
  <c r="H84" i="27"/>
  <c r="F85" i="27"/>
  <c r="G85" i="27"/>
  <c r="H85" i="27"/>
  <c r="F86" i="27"/>
  <c r="G86" i="27"/>
  <c r="H86" i="27"/>
  <c r="F87" i="27"/>
  <c r="G87" i="27"/>
  <c r="H87" i="27"/>
  <c r="F88" i="27"/>
  <c r="G88" i="27"/>
  <c r="H88" i="27"/>
  <c r="F89" i="27"/>
  <c r="G89" i="27"/>
  <c r="H89" i="27"/>
  <c r="G90" i="27"/>
  <c r="H90" i="27"/>
  <c r="F95" i="27"/>
  <c r="G95" i="27"/>
  <c r="H95" i="27"/>
  <c r="F96" i="27"/>
  <c r="G96" i="27"/>
  <c r="H96" i="27"/>
  <c r="F97" i="27"/>
  <c r="G97" i="27"/>
  <c r="H97" i="27"/>
  <c r="F98" i="27"/>
  <c r="G98" i="27"/>
  <c r="H98" i="27"/>
  <c r="F99" i="27"/>
  <c r="G99" i="27"/>
  <c r="H99" i="27"/>
  <c r="F100" i="27"/>
  <c r="G100" i="27"/>
  <c r="H100" i="27"/>
  <c r="F101" i="27"/>
  <c r="G101" i="27"/>
  <c r="H101" i="27"/>
  <c r="F102" i="27"/>
  <c r="G102" i="27"/>
  <c r="H102" i="27"/>
  <c r="F103" i="27"/>
  <c r="G103" i="27"/>
  <c r="H103" i="27"/>
  <c r="F104" i="27"/>
  <c r="G104" i="27"/>
  <c r="H104" i="27"/>
  <c r="F105" i="27"/>
  <c r="G105" i="27"/>
  <c r="H105" i="27"/>
  <c r="F106" i="27"/>
  <c r="G106" i="27"/>
  <c r="H106" i="27"/>
  <c r="F107" i="27"/>
  <c r="G107" i="27"/>
  <c r="H107" i="27"/>
  <c r="F108" i="27"/>
  <c r="G108" i="27"/>
  <c r="H108" i="27"/>
  <c r="F109" i="27"/>
  <c r="G109" i="27"/>
  <c r="H109" i="27"/>
  <c r="F110" i="27"/>
  <c r="G110" i="27"/>
  <c r="H110" i="27"/>
  <c r="F111" i="27"/>
  <c r="G111" i="27"/>
  <c r="H111" i="27"/>
  <c r="F112" i="27"/>
  <c r="G112" i="27"/>
  <c r="H112" i="27"/>
  <c r="F113" i="27"/>
  <c r="G113" i="27"/>
  <c r="H113" i="27"/>
  <c r="F114" i="27"/>
  <c r="G114" i="27"/>
  <c r="H114" i="27"/>
  <c r="F115" i="27"/>
  <c r="G115" i="27"/>
  <c r="H115" i="27"/>
  <c r="F116" i="27"/>
  <c r="G116" i="27"/>
  <c r="H116" i="27"/>
  <c r="F117" i="27"/>
  <c r="G117" i="27"/>
  <c r="H117" i="27"/>
  <c r="F118" i="27"/>
  <c r="G118" i="27"/>
  <c r="H118" i="27"/>
  <c r="F119" i="27"/>
  <c r="G119" i="27"/>
  <c r="H119" i="27"/>
  <c r="F120" i="27"/>
  <c r="G120" i="27"/>
  <c r="H120" i="27"/>
  <c r="F121" i="27"/>
  <c r="G121" i="27"/>
  <c r="H121" i="27"/>
  <c r="F122" i="27"/>
  <c r="G122" i="27"/>
  <c r="H122" i="27"/>
  <c r="F123" i="27"/>
  <c r="G123" i="27"/>
  <c r="H123" i="27"/>
  <c r="F124" i="27"/>
  <c r="G124" i="27"/>
  <c r="H124" i="27"/>
  <c r="F125" i="27"/>
  <c r="G125" i="27"/>
  <c r="H125" i="27"/>
  <c r="F126" i="27"/>
  <c r="G126" i="27"/>
  <c r="H126" i="27"/>
  <c r="F127" i="27"/>
  <c r="G127" i="27"/>
  <c r="H127" i="27"/>
  <c r="F128" i="27"/>
  <c r="G128" i="27"/>
  <c r="H128" i="27"/>
  <c r="F129" i="27"/>
  <c r="G129" i="27"/>
  <c r="H129" i="27"/>
  <c r="F130" i="27"/>
  <c r="G130" i="27"/>
  <c r="H130" i="27"/>
  <c r="F131" i="27"/>
  <c r="G131" i="27"/>
  <c r="H131" i="27"/>
  <c r="F132" i="27"/>
  <c r="G132" i="27"/>
  <c r="H132" i="27"/>
  <c r="F133" i="27"/>
  <c r="G133" i="27"/>
  <c r="H133" i="27"/>
  <c r="F134" i="27"/>
  <c r="G134" i="27"/>
  <c r="H134" i="27"/>
  <c r="F135" i="27"/>
  <c r="G135" i="27"/>
  <c r="H135" i="27"/>
  <c r="F136" i="27"/>
  <c r="G136" i="27"/>
  <c r="H136" i="27"/>
  <c r="F137" i="27"/>
  <c r="G137" i="27"/>
  <c r="H137" i="27"/>
  <c r="F138" i="27"/>
  <c r="G138" i="27"/>
  <c r="H138" i="27"/>
  <c r="F139" i="27"/>
  <c r="G139" i="27"/>
  <c r="H139" i="27"/>
  <c r="F140" i="27"/>
  <c r="G140" i="27"/>
  <c r="H140" i="27"/>
  <c r="F141" i="27"/>
  <c r="G141" i="27"/>
  <c r="H141" i="27"/>
  <c r="F142" i="27"/>
  <c r="G142" i="27"/>
  <c r="H142" i="27"/>
  <c r="F143" i="27"/>
  <c r="G143" i="27"/>
  <c r="H143" i="27"/>
  <c r="F144" i="27"/>
  <c r="G144" i="27"/>
  <c r="H144" i="27"/>
  <c r="F145" i="27"/>
  <c r="G145" i="27"/>
  <c r="H145" i="27"/>
  <c r="F146" i="27"/>
  <c r="G146" i="27"/>
  <c r="H146" i="27"/>
  <c r="F147" i="27"/>
  <c r="G147" i="27"/>
  <c r="H147" i="27"/>
  <c r="F148" i="27"/>
  <c r="G148" i="27"/>
  <c r="H148" i="27"/>
  <c r="F149" i="27"/>
  <c r="G149" i="27"/>
  <c r="H149" i="27"/>
  <c r="F150" i="27"/>
  <c r="G150" i="27"/>
  <c r="H150" i="27"/>
  <c r="F151" i="27"/>
  <c r="G151" i="27"/>
  <c r="H151" i="27"/>
  <c r="F4" i="27"/>
  <c r="G4" i="27"/>
  <c r="H4" i="27"/>
  <c r="F5" i="27"/>
  <c r="G5" i="27"/>
  <c r="H5" i="27"/>
  <c r="F6" i="27"/>
  <c r="G6" i="27"/>
  <c r="H6" i="27"/>
  <c r="F7" i="27"/>
  <c r="G7" i="27"/>
  <c r="H7" i="27"/>
  <c r="F10" i="27"/>
  <c r="G10" i="27"/>
  <c r="H10" i="27"/>
  <c r="F11" i="27"/>
  <c r="G11" i="27"/>
  <c r="H11" i="27"/>
  <c r="F12" i="27"/>
  <c r="G12" i="27"/>
  <c r="H12" i="27"/>
  <c r="F13" i="27"/>
  <c r="G13" i="27"/>
  <c r="H13" i="27"/>
  <c r="F14" i="27"/>
  <c r="G14" i="27"/>
  <c r="F15" i="27"/>
  <c r="G15" i="27"/>
  <c r="H15" i="27"/>
  <c r="F16" i="27"/>
  <c r="G16" i="27"/>
  <c r="H16" i="27"/>
  <c r="F17" i="27"/>
  <c r="G17" i="27"/>
  <c r="H17" i="27"/>
  <c r="F18" i="27"/>
  <c r="G18" i="27"/>
  <c r="H18" i="27"/>
  <c r="F19" i="27"/>
  <c r="G19" i="27"/>
  <c r="H19" i="27"/>
  <c r="F20" i="27"/>
  <c r="G20" i="27"/>
  <c r="H20" i="27"/>
  <c r="F21" i="27"/>
  <c r="G21" i="27"/>
  <c r="H21" i="27"/>
  <c r="F22" i="27"/>
  <c r="G22" i="27"/>
  <c r="H22" i="27"/>
  <c r="G3" i="27"/>
  <c r="F3" i="27"/>
  <c r="I3" i="27" s="1"/>
  <c r="D8" i="60" l="1"/>
  <c r="D12" i="3"/>
  <c r="D251" i="3"/>
  <c r="D232" i="3"/>
  <c r="D146" i="2"/>
  <c r="D137" i="2"/>
  <c r="I11" i="27"/>
  <c r="R23" i="9" s="1"/>
  <c r="U19" i="9" s="1"/>
  <c r="I23" i="27"/>
  <c r="AQ16" i="41" s="1"/>
  <c r="I37" i="27"/>
  <c r="I35" i="27"/>
  <c r="I17" i="27"/>
  <c r="I13" i="27"/>
  <c r="I148" i="27"/>
  <c r="I33" i="27"/>
  <c r="I15" i="27"/>
  <c r="I4" i="27"/>
  <c r="I21" i="27"/>
  <c r="I19" i="27"/>
  <c r="I39" i="27"/>
  <c r="I6" i="27"/>
  <c r="I29" i="27"/>
  <c r="I8" i="27"/>
  <c r="I31" i="27"/>
  <c r="I150" i="27"/>
  <c r="J17" i="61" s="1"/>
  <c r="K17" i="61" s="1"/>
  <c r="E10" i="61" s="1"/>
  <c r="I60" i="27"/>
  <c r="I27" i="27"/>
  <c r="I25" i="27"/>
  <c r="I146" i="27"/>
  <c r="I144" i="27"/>
  <c r="I142" i="27"/>
  <c r="I140" i="27"/>
  <c r="I138" i="27"/>
  <c r="I136" i="27"/>
  <c r="I134" i="27"/>
  <c r="I132" i="27"/>
  <c r="I130" i="27"/>
  <c r="I128" i="27"/>
  <c r="I126" i="27"/>
  <c r="D10" i="60" s="1"/>
  <c r="I124" i="27"/>
  <c r="I122" i="27"/>
  <c r="I120" i="27"/>
  <c r="I118" i="27"/>
  <c r="I116" i="27"/>
  <c r="I114" i="27"/>
  <c r="D21" i="49" s="1"/>
  <c r="I112" i="27"/>
  <c r="X29" i="8" s="1"/>
  <c r="I110" i="27"/>
  <c r="AZ4" i="8" s="1"/>
  <c r="I108" i="27"/>
  <c r="I106" i="27"/>
  <c r="I104" i="27"/>
  <c r="I102" i="27"/>
  <c r="I100" i="27"/>
  <c r="I98" i="27"/>
  <c r="D53" i="34" s="1"/>
  <c r="I96" i="27"/>
  <c r="D240" i="3" s="1"/>
  <c r="I90" i="27"/>
  <c r="I88" i="27"/>
  <c r="I86" i="27"/>
  <c r="I84" i="27"/>
  <c r="I82" i="27"/>
  <c r="I80" i="27"/>
  <c r="I78" i="27"/>
  <c r="I76" i="27"/>
  <c r="I74" i="27"/>
  <c r="I72" i="27"/>
  <c r="D17" i="2" s="1"/>
  <c r="I70" i="27"/>
  <c r="L15" i="6" s="1"/>
  <c r="I68" i="27"/>
  <c r="I66" i="27"/>
  <c r="I64" i="27"/>
  <c r="I62" i="27"/>
  <c r="I58" i="27"/>
  <c r="I56" i="27"/>
  <c r="O7" i="28" s="1"/>
  <c r="I54" i="27"/>
  <c r="I52" i="27"/>
  <c r="I50" i="27"/>
  <c r="I48" i="27"/>
  <c r="I46" i="27"/>
  <c r="X20" i="8" s="1"/>
  <c r="X25" i="8" s="1"/>
  <c r="K28" i="21" s="1"/>
  <c r="I44" i="27"/>
  <c r="I42" i="27"/>
  <c r="I40" i="27"/>
  <c r="I38" i="27"/>
  <c r="I36" i="27"/>
  <c r="I34" i="27"/>
  <c r="D215" i="3" s="1"/>
  <c r="I32" i="27"/>
  <c r="D254" i="3" s="1"/>
  <c r="I30" i="27"/>
  <c r="I28" i="27"/>
  <c r="I26" i="27"/>
  <c r="I24" i="27"/>
  <c r="I22" i="27"/>
  <c r="I20" i="27"/>
  <c r="I18" i="27"/>
  <c r="I16" i="27"/>
  <c r="I14" i="27"/>
  <c r="I12" i="27"/>
  <c r="I10" i="27"/>
  <c r="I7" i="27"/>
  <c r="I5" i="27"/>
  <c r="I151" i="27"/>
  <c r="D297" i="3" s="1"/>
  <c r="I149" i="27"/>
  <c r="I147" i="27"/>
  <c r="I145" i="27"/>
  <c r="I143" i="27"/>
  <c r="I141" i="27"/>
  <c r="I139" i="27"/>
  <c r="I137" i="27"/>
  <c r="I135" i="27"/>
  <c r="I133" i="27"/>
  <c r="I131" i="27"/>
  <c r="I129" i="27"/>
  <c r="I127" i="27"/>
  <c r="D86" i="34" s="1"/>
  <c r="I125" i="27"/>
  <c r="I123" i="27"/>
  <c r="I121" i="27"/>
  <c r="D139" i="2" s="1"/>
  <c r="I119" i="27"/>
  <c r="I117" i="27"/>
  <c r="I115" i="27"/>
  <c r="I113" i="27"/>
  <c r="I111" i="27"/>
  <c r="I109" i="27"/>
  <c r="I107" i="27"/>
  <c r="I105" i="27"/>
  <c r="I103" i="27"/>
  <c r="I101" i="27"/>
  <c r="I99" i="27"/>
  <c r="I97" i="27"/>
  <c r="I95" i="27"/>
  <c r="I89" i="27"/>
  <c r="I87" i="27"/>
  <c r="I85" i="27"/>
  <c r="I83" i="27"/>
  <c r="I81" i="27"/>
  <c r="I79" i="27"/>
  <c r="I77" i="27"/>
  <c r="I75" i="27"/>
  <c r="I73" i="27"/>
  <c r="I71" i="27"/>
  <c r="I69" i="27"/>
  <c r="L14" i="6" s="1"/>
  <c r="I67" i="27"/>
  <c r="I65" i="27"/>
  <c r="I63" i="27"/>
  <c r="I61" i="27"/>
  <c r="I59" i="27"/>
  <c r="I57" i="27"/>
  <c r="I55" i="27"/>
  <c r="I53" i="27"/>
  <c r="I51" i="27"/>
  <c r="I49" i="27"/>
  <c r="I47" i="27"/>
  <c r="I45" i="27"/>
  <c r="L17" i="6" s="1"/>
  <c r="I43" i="27"/>
  <c r="I41" i="27"/>
  <c r="H39" i="37" s="1"/>
  <c r="H40" i="37" s="1"/>
  <c r="J40" i="37" s="1"/>
  <c r="X6" i="8" l="1"/>
  <c r="X5" i="8"/>
  <c r="S11" i="12"/>
  <c r="V8" i="12" s="1"/>
  <c r="D22" i="21"/>
  <c r="C22" i="21"/>
  <c r="X4" i="8"/>
  <c r="X28" i="8"/>
  <c r="X33" i="8" s="1"/>
  <c r="C27" i="21" s="1"/>
  <c r="L22" i="21"/>
  <c r="K22" i="21"/>
  <c r="K8" i="21"/>
  <c r="X9" i="8"/>
  <c r="C13" i="21" s="1"/>
  <c r="L8" i="21"/>
  <c r="C8" i="21"/>
  <c r="X12" i="8"/>
  <c r="X14" i="8"/>
  <c r="D8" i="21"/>
  <c r="I8" i="21" s="1"/>
  <c r="X13" i="8"/>
  <c r="D40" i="37"/>
  <c r="D58" i="34"/>
  <c r="D57" i="34"/>
  <c r="D52" i="34"/>
  <c r="D54" i="34"/>
  <c r="D51" i="34"/>
  <c r="D59" i="34"/>
  <c r="D50" i="34"/>
  <c r="D172" i="2"/>
  <c r="G10" i="21"/>
  <c r="D66" i="34"/>
  <c r="G9" i="21"/>
  <c r="D171" i="2"/>
  <c r="K7" i="28"/>
  <c r="G11" i="28"/>
  <c r="O8" i="28"/>
  <c r="C12" i="28"/>
  <c r="D219" i="34"/>
  <c r="C6" i="61"/>
  <c r="D6" i="61"/>
  <c r="B6" i="61"/>
  <c r="E6" i="61"/>
  <c r="F3" i="61"/>
  <c r="E3" i="61"/>
  <c r="B3" i="61"/>
  <c r="D213" i="34"/>
  <c r="D220" i="34"/>
  <c r="D221" i="34"/>
  <c r="D210" i="34"/>
  <c r="D215" i="34"/>
  <c r="D218" i="34"/>
  <c r="D211" i="34"/>
  <c r="D212" i="34"/>
  <c r="D217" i="34"/>
  <c r="F6" i="61"/>
  <c r="D214" i="34"/>
  <c r="J17" i="6"/>
  <c r="D4" i="60"/>
  <c r="D7" i="60"/>
  <c r="D6" i="60"/>
  <c r="D9" i="60"/>
  <c r="D5" i="60"/>
  <c r="BX21" i="41"/>
  <c r="J14" i="6"/>
  <c r="L5" i="6"/>
  <c r="J5" i="6"/>
  <c r="J15" i="6"/>
  <c r="BR20" i="41"/>
  <c r="BX20" i="41"/>
  <c r="BR22" i="41"/>
  <c r="BR11" i="41"/>
  <c r="BR21" i="41"/>
  <c r="BR8" i="41"/>
  <c r="BR10" i="41"/>
  <c r="BR9" i="41"/>
  <c r="D5" i="6"/>
  <c r="BR13" i="41"/>
  <c r="BU13" i="41"/>
  <c r="BR16" i="41"/>
  <c r="BX16" i="41"/>
  <c r="BX13" i="41"/>
  <c r="BU16" i="41"/>
  <c r="BU21" i="41"/>
  <c r="BX22" i="41"/>
  <c r="BU22" i="41"/>
  <c r="BU8" i="41"/>
  <c r="BX8" i="41"/>
  <c r="BR12" i="41"/>
  <c r="BU12" i="41"/>
  <c r="BX12" i="41"/>
  <c r="BX10" i="41"/>
  <c r="BU9" i="41"/>
  <c r="BX9" i="41"/>
  <c r="BU10" i="41"/>
  <c r="BM16" i="41"/>
  <c r="BU15" i="41"/>
  <c r="BR15" i="41"/>
  <c r="BX15" i="41"/>
  <c r="BU23" i="41"/>
  <c r="BX23" i="41"/>
  <c r="BU11" i="41"/>
  <c r="BX11" i="41"/>
  <c r="BR18" i="41"/>
  <c r="BX18" i="41"/>
  <c r="BU18" i="41"/>
  <c r="BX17" i="41"/>
  <c r="BR17" i="41"/>
  <c r="BU17" i="41"/>
  <c r="BR14" i="41"/>
  <c r="BU14" i="41"/>
  <c r="BX14" i="41"/>
  <c r="BR19" i="41"/>
  <c r="BU19" i="41"/>
  <c r="BX19" i="41"/>
  <c r="BM20" i="41"/>
  <c r="AV5" i="8"/>
  <c r="AV6" i="8"/>
  <c r="BM19" i="41"/>
  <c r="BM18" i="41"/>
  <c r="BM8" i="41"/>
  <c r="BM22" i="41"/>
  <c r="BG13" i="41"/>
  <c r="BJ8" i="41"/>
  <c r="BM13" i="41"/>
  <c r="BG8" i="41"/>
  <c r="BJ13" i="41"/>
  <c r="BM9" i="41"/>
  <c r="BM11" i="41"/>
  <c r="BJ9" i="41"/>
  <c r="BJ11" i="41"/>
  <c r="BG9" i="41"/>
  <c r="BG11" i="41"/>
  <c r="BG14" i="41"/>
  <c r="BM14" i="41"/>
  <c r="BM17" i="41"/>
  <c r="BJ14" i="41"/>
  <c r="BG12" i="41"/>
  <c r="BM10" i="41"/>
  <c r="BM12" i="41"/>
  <c r="BJ10" i="41"/>
  <c r="BJ12" i="41"/>
  <c r="BG10" i="41"/>
  <c r="D223" i="3"/>
  <c r="BG16" i="41"/>
  <c r="BJ16" i="41"/>
  <c r="BG17" i="41"/>
  <c r="D165" i="2"/>
  <c r="BJ17" i="41"/>
  <c r="BG20" i="41"/>
  <c r="BJ20" i="41"/>
  <c r="D164" i="2"/>
  <c r="BG22" i="41"/>
  <c r="D320" i="3"/>
  <c r="BJ22" i="41"/>
  <c r="D162" i="2"/>
  <c r="D155" i="2"/>
  <c r="D319" i="3"/>
  <c r="D255" i="3"/>
  <c r="D156" i="2"/>
  <c r="BG18" i="41"/>
  <c r="BJ18" i="41"/>
  <c r="D163" i="2"/>
  <c r="D321" i="3"/>
  <c r="BG19" i="41"/>
  <c r="BJ19" i="41"/>
  <c r="BM15" i="41"/>
  <c r="BG15" i="41"/>
  <c r="D154" i="2"/>
  <c r="BJ15" i="41"/>
  <c r="AZ5" i="8"/>
  <c r="D14" i="3"/>
  <c r="D242" i="3"/>
  <c r="AZ6" i="8"/>
  <c r="D312" i="3"/>
  <c r="U7" i="41"/>
  <c r="D282" i="3"/>
  <c r="D281" i="3"/>
  <c r="D310" i="3"/>
  <c r="G303" i="3" s="1"/>
  <c r="D295" i="3"/>
  <c r="D233" i="3"/>
  <c r="D268" i="3"/>
  <c r="D234" i="3"/>
  <c r="D253" i="3"/>
  <c r="U16" i="41"/>
  <c r="D296" i="3"/>
  <c r="D237" i="3"/>
  <c r="D264" i="3"/>
  <c r="D277" i="3"/>
  <c r="D291" i="3"/>
  <c r="D307" i="3"/>
  <c r="D304" i="3"/>
  <c r="D288" i="3"/>
  <c r="D274" i="3"/>
  <c r="D261" i="3"/>
  <c r="D239" i="3"/>
  <c r="D238" i="3"/>
  <c r="G231" i="3" s="1"/>
  <c r="D267" i="3"/>
  <c r="G260" i="3" s="1"/>
  <c r="D280" i="3"/>
  <c r="G273" i="3" s="1"/>
  <c r="D294" i="3"/>
  <c r="G287" i="3" s="1"/>
  <c r="D201" i="34"/>
  <c r="D243" i="3"/>
  <c r="D314" i="3"/>
  <c r="D278" i="3"/>
  <c r="D265" i="3"/>
  <c r="D236" i="3"/>
  <c r="D292" i="3"/>
  <c r="D308" i="3"/>
  <c r="D311" i="3"/>
  <c r="D245" i="3"/>
  <c r="D313" i="3"/>
  <c r="D298" i="3"/>
  <c r="D244" i="3"/>
  <c r="D252" i="3"/>
  <c r="D289" i="3"/>
  <c r="D262" i="3"/>
  <c r="D231" i="3"/>
  <c r="D275" i="3"/>
  <c r="D13" i="3"/>
  <c r="D305" i="3"/>
  <c r="D241" i="3"/>
  <c r="D303" i="3"/>
  <c r="D11" i="3"/>
  <c r="D250" i="3"/>
  <c r="D235" i="3"/>
  <c r="D287" i="3"/>
  <c r="D260" i="3"/>
  <c r="D273" i="3"/>
  <c r="D266" i="3"/>
  <c r="D293" i="3"/>
  <c r="D309" i="3"/>
  <c r="D279" i="3"/>
  <c r="D306" i="3"/>
  <c r="D263" i="3"/>
  <c r="D276" i="3"/>
  <c r="D290" i="3"/>
  <c r="D209" i="3"/>
  <c r="D222" i="3"/>
  <c r="D213" i="3"/>
  <c r="D211" i="3"/>
  <c r="D220" i="3"/>
  <c r="D225" i="3"/>
  <c r="D212" i="3"/>
  <c r="D210" i="3"/>
  <c r="D226" i="3"/>
  <c r="D221" i="3"/>
  <c r="D92" i="3"/>
  <c r="D214" i="3"/>
  <c r="D224" i="3"/>
  <c r="H5" i="6"/>
  <c r="AQ10" i="41"/>
  <c r="AF11" i="41"/>
  <c r="AQ9" i="41"/>
  <c r="AF10" i="41"/>
  <c r="AQ15" i="41"/>
  <c r="AF17" i="41"/>
  <c r="AF14" i="41"/>
  <c r="AQ13" i="41"/>
  <c r="AQ12" i="41"/>
  <c r="AF13" i="41"/>
  <c r="AQ14" i="41"/>
  <c r="AQ8" i="41"/>
  <c r="AF12" i="41"/>
  <c r="AQ11" i="41"/>
  <c r="J15" i="41"/>
  <c r="J11" i="41"/>
  <c r="J10" i="41"/>
  <c r="J14" i="41"/>
  <c r="J13" i="41"/>
  <c r="J9" i="41"/>
  <c r="J12" i="41"/>
  <c r="G7" i="41"/>
  <c r="J16" i="41"/>
  <c r="J7" i="41"/>
  <c r="BB8" i="41"/>
  <c r="J18" i="41"/>
  <c r="J17" i="41"/>
  <c r="S6" i="8"/>
  <c r="BB9" i="41"/>
  <c r="BB11" i="41"/>
  <c r="BB10" i="41"/>
  <c r="D204" i="3"/>
  <c r="BB14" i="41"/>
  <c r="D200" i="3"/>
  <c r="BB13" i="41"/>
  <c r="D203" i="3"/>
  <c r="D125" i="3"/>
  <c r="D202" i="3"/>
  <c r="BB12" i="41"/>
  <c r="AY8" i="41"/>
  <c r="AV8" i="41"/>
  <c r="D201" i="3"/>
  <c r="AV14" i="41"/>
  <c r="AY14" i="41"/>
  <c r="D147" i="2"/>
  <c r="U14" i="41"/>
  <c r="AY13" i="41"/>
  <c r="AV13" i="41"/>
  <c r="U13" i="41"/>
  <c r="D140" i="2"/>
  <c r="U8" i="41"/>
  <c r="AV12" i="41"/>
  <c r="AY12" i="41"/>
  <c r="U12" i="41"/>
  <c r="D138" i="2"/>
  <c r="U17" i="41"/>
  <c r="AY9" i="41"/>
  <c r="AV9" i="41"/>
  <c r="D148" i="2"/>
  <c r="U9" i="41"/>
  <c r="AV11" i="41"/>
  <c r="AY11" i="41"/>
  <c r="U11" i="41"/>
  <c r="AY10" i="41"/>
  <c r="AV10" i="41"/>
  <c r="U10" i="41"/>
  <c r="D136" i="2"/>
  <c r="U18" i="41"/>
  <c r="X17" i="8" l="1"/>
  <c r="D173" i="2"/>
  <c r="G171" i="2" s="1"/>
  <c r="D222" i="34"/>
  <c r="D225" i="34" s="1"/>
  <c r="D232" i="34" s="1"/>
  <c r="AV8" i="8"/>
  <c r="D158" i="2"/>
  <c r="G155" i="2" s="1"/>
  <c r="BM21" i="41" s="1"/>
  <c r="D166" i="2"/>
  <c r="G163" i="2" s="1"/>
  <c r="AZ8" i="8"/>
  <c r="D8" i="55" s="1"/>
  <c r="D283" i="3"/>
  <c r="Y274" i="3" s="1"/>
  <c r="Y276" i="3" s="1"/>
  <c r="D299" i="3"/>
  <c r="W288" i="3" s="1"/>
  <c r="W290" i="3" s="1"/>
  <c r="D15" i="3"/>
  <c r="G11" i="3" s="1"/>
  <c r="D246" i="3"/>
  <c r="D269" i="3"/>
  <c r="D256" i="3"/>
  <c r="G250" i="3" s="1"/>
  <c r="D315" i="3"/>
  <c r="D227" i="3"/>
  <c r="Y221" i="3" s="1"/>
  <c r="D4" i="55" s="1"/>
  <c r="D216" i="3"/>
  <c r="G209" i="3" s="1"/>
  <c r="K8" i="28" s="1"/>
  <c r="D205" i="3"/>
  <c r="D141" i="2"/>
  <c r="G137" i="2" s="1"/>
  <c r="D150" i="2"/>
  <c r="G146" i="2" s="1"/>
  <c r="B112" i="3"/>
  <c r="N24" i="9"/>
  <c r="M24" i="9"/>
  <c r="K24" i="9"/>
  <c r="C38" i="17" l="1"/>
  <c r="U201" i="3"/>
  <c r="V201" i="3"/>
  <c r="T201" i="3"/>
  <c r="X201" i="3"/>
  <c r="W201" i="3"/>
  <c r="AA201" i="3"/>
  <c r="AA203" i="3" s="1"/>
  <c r="G5" i="28" s="1"/>
  <c r="BM27" i="41"/>
  <c r="BX27" i="41"/>
  <c r="U27" i="41"/>
  <c r="J27" i="41"/>
  <c r="AF27" i="41"/>
  <c r="AQ27" i="41"/>
  <c r="BB27" i="41"/>
  <c r="BG21" i="41"/>
  <c r="BJ21" i="41"/>
  <c r="D9" i="55"/>
  <c r="C19" i="42" s="1"/>
  <c r="C19" i="17" s="1"/>
  <c r="Y288" i="3"/>
  <c r="Y290" i="3" s="1"/>
  <c r="U288" i="3"/>
  <c r="U290" i="3" s="1"/>
  <c r="X288" i="3"/>
  <c r="X290" i="3" s="1"/>
  <c r="V288" i="3"/>
  <c r="V290" i="3" s="1"/>
  <c r="T288" i="3"/>
  <c r="T290" i="3" s="1"/>
  <c r="W251" i="3"/>
  <c r="W253" i="3" s="1"/>
  <c r="T251" i="3"/>
  <c r="T253" i="3" s="1"/>
  <c r="U251" i="3"/>
  <c r="U253" i="3" s="1"/>
  <c r="W232" i="3"/>
  <c r="W234" i="3" s="1"/>
  <c r="T232" i="3"/>
  <c r="T234" i="3" s="1"/>
  <c r="X232" i="3"/>
  <c r="X234" i="3" s="1"/>
  <c r="Y232" i="3"/>
  <c r="Y234" i="3" s="1"/>
  <c r="U232" i="3"/>
  <c r="U234" i="3" s="1"/>
  <c r="V232" i="3"/>
  <c r="V234" i="3" s="1"/>
  <c r="Y251" i="3"/>
  <c r="Y253" i="3" s="1"/>
  <c r="V251" i="3"/>
  <c r="V253" i="3" s="1"/>
  <c r="X251" i="3"/>
  <c r="X253" i="3" s="1"/>
  <c r="X304" i="3"/>
  <c r="X306" i="3" s="1"/>
  <c r="Y304" i="3"/>
  <c r="Y306" i="3" s="1"/>
  <c r="T304" i="3"/>
  <c r="T306" i="3" s="1"/>
  <c r="U304" i="3"/>
  <c r="U306" i="3" s="1"/>
  <c r="V304" i="3"/>
  <c r="V306" i="3" s="1"/>
  <c r="W304" i="3"/>
  <c r="W306" i="3" s="1"/>
  <c r="Y261" i="3"/>
  <c r="Y263" i="3" s="1"/>
  <c r="U274" i="3"/>
  <c r="U276" i="3" s="1"/>
  <c r="T274" i="3"/>
  <c r="T276" i="3" s="1"/>
  <c r="V274" i="3"/>
  <c r="V276" i="3" s="1"/>
  <c r="V261" i="3"/>
  <c r="V263" i="3" s="1"/>
  <c r="W261" i="3"/>
  <c r="W263" i="3" s="1"/>
  <c r="W274" i="3"/>
  <c r="W276" i="3" s="1"/>
  <c r="T261" i="3"/>
  <c r="T263" i="3" s="1"/>
  <c r="X261" i="3"/>
  <c r="X263" i="3" s="1"/>
  <c r="X274" i="3"/>
  <c r="X276" i="3" s="1"/>
  <c r="U261" i="3"/>
  <c r="U263" i="3" s="1"/>
  <c r="Y223" i="3"/>
  <c r="G220" i="3"/>
  <c r="D7" i="37"/>
  <c r="H7" i="37"/>
  <c r="F7" i="37"/>
  <c r="G200" i="3"/>
  <c r="Z201" i="3"/>
  <c r="Y201" i="3"/>
  <c r="BB15" i="41"/>
  <c r="AY15" i="41"/>
  <c r="AV15" i="41"/>
  <c r="D10" i="6"/>
  <c r="AA50" i="17"/>
  <c r="AB4" i="17"/>
  <c r="AC4" i="17"/>
  <c r="AB5" i="17"/>
  <c r="AC5" i="17"/>
  <c r="AB6" i="17"/>
  <c r="AC6" i="17"/>
  <c r="AB8" i="17"/>
  <c r="AC8" i="17"/>
  <c r="AB9" i="17"/>
  <c r="AC9" i="17"/>
  <c r="AA11" i="17"/>
  <c r="AA12" i="17"/>
  <c r="AB12" i="17"/>
  <c r="AA13" i="17"/>
  <c r="AC13" i="17"/>
  <c r="AD13" i="17"/>
  <c r="AE13" i="17"/>
  <c r="AF13" i="17"/>
  <c r="AA14" i="17"/>
  <c r="AA15" i="17"/>
  <c r="AA16" i="17"/>
  <c r="AB17" i="17"/>
  <c r="AC17" i="17"/>
  <c r="AB18" i="17"/>
  <c r="AC18" i="17"/>
  <c r="AB19" i="17"/>
  <c r="AC19" i="17"/>
  <c r="AE19" i="17"/>
  <c r="AF19" i="17"/>
  <c r="AA20" i="17"/>
  <c r="AF20" i="17"/>
  <c r="AA21" i="17"/>
  <c r="AC21" i="17"/>
  <c r="AD21" i="17"/>
  <c r="AF21" i="17"/>
  <c r="AA22" i="17"/>
  <c r="AC22" i="17"/>
  <c r="AD22" i="17"/>
  <c r="AF22" i="17"/>
  <c r="AB25" i="17"/>
  <c r="AB30" i="17"/>
  <c r="AE30" i="17"/>
  <c r="AF30" i="17"/>
  <c r="AB3" i="17"/>
  <c r="AC3" i="17"/>
  <c r="U50" i="17"/>
  <c r="V4" i="17"/>
  <c r="W4" i="17"/>
  <c r="V5" i="17"/>
  <c r="W5" i="17"/>
  <c r="V6" i="17"/>
  <c r="W6" i="17"/>
  <c r="V8" i="17"/>
  <c r="W8" i="17"/>
  <c r="V9" i="17"/>
  <c r="W9" i="17"/>
  <c r="U11" i="17"/>
  <c r="U12" i="17"/>
  <c r="V12" i="17"/>
  <c r="U13" i="17"/>
  <c r="W13" i="17"/>
  <c r="X13" i="17"/>
  <c r="Y13" i="17"/>
  <c r="Z13" i="17"/>
  <c r="U14" i="17"/>
  <c r="U15" i="17"/>
  <c r="U16" i="17"/>
  <c r="V17" i="17"/>
  <c r="W17" i="17"/>
  <c r="V18" i="17"/>
  <c r="W18" i="17"/>
  <c r="V19" i="17"/>
  <c r="W19" i="17"/>
  <c r="Y19" i="17"/>
  <c r="Z19" i="17"/>
  <c r="U20" i="17"/>
  <c r="Z20" i="17"/>
  <c r="U21" i="17"/>
  <c r="W21" i="17"/>
  <c r="X21" i="17"/>
  <c r="Z21" i="17"/>
  <c r="U22" i="17"/>
  <c r="W22" i="17"/>
  <c r="X22" i="17"/>
  <c r="Z22" i="17"/>
  <c r="V25" i="17"/>
  <c r="V30" i="17"/>
  <c r="Y30" i="17"/>
  <c r="Z30" i="17"/>
  <c r="V3" i="17"/>
  <c r="W3" i="17"/>
  <c r="O50" i="17"/>
  <c r="P4" i="17"/>
  <c r="Q4" i="17"/>
  <c r="P5" i="17"/>
  <c r="Q5" i="17"/>
  <c r="P6" i="17"/>
  <c r="Q6" i="17"/>
  <c r="P8" i="17"/>
  <c r="Q8" i="17"/>
  <c r="P9" i="17"/>
  <c r="Q9" i="17"/>
  <c r="O11" i="17"/>
  <c r="O12" i="17"/>
  <c r="P12" i="17"/>
  <c r="O13" i="17"/>
  <c r="Q13" i="17"/>
  <c r="R13" i="17"/>
  <c r="S13" i="17"/>
  <c r="T13" i="17"/>
  <c r="O14" i="17"/>
  <c r="O15" i="17"/>
  <c r="O16" i="17"/>
  <c r="P17" i="17"/>
  <c r="Q17" i="17"/>
  <c r="P18" i="17"/>
  <c r="Q18" i="17"/>
  <c r="P19" i="17"/>
  <c r="Q19" i="17"/>
  <c r="S19" i="17"/>
  <c r="T19" i="17"/>
  <c r="O20" i="17"/>
  <c r="T20" i="17"/>
  <c r="O21" i="17"/>
  <c r="Q21" i="17"/>
  <c r="R21" i="17"/>
  <c r="T21" i="17"/>
  <c r="O22" i="17"/>
  <c r="Q22" i="17"/>
  <c r="R22" i="17"/>
  <c r="T22" i="17"/>
  <c r="P25" i="17"/>
  <c r="S27" i="17"/>
  <c r="P30" i="17"/>
  <c r="S30" i="17"/>
  <c r="T30" i="17"/>
  <c r="P3" i="17"/>
  <c r="Q3" i="17"/>
  <c r="J4" i="17"/>
  <c r="K4" i="17"/>
  <c r="J5" i="17"/>
  <c r="K5" i="17"/>
  <c r="J6" i="17"/>
  <c r="K6" i="17"/>
  <c r="J8" i="17"/>
  <c r="K8" i="17"/>
  <c r="J9" i="17"/>
  <c r="K9" i="17"/>
  <c r="I11" i="17"/>
  <c r="I12" i="17"/>
  <c r="J12" i="17"/>
  <c r="I13" i="17"/>
  <c r="K13" i="17"/>
  <c r="L13" i="17"/>
  <c r="M13" i="17"/>
  <c r="N13" i="17"/>
  <c r="I14" i="17"/>
  <c r="I15" i="17"/>
  <c r="I16" i="17"/>
  <c r="J17" i="17"/>
  <c r="K17" i="17"/>
  <c r="J18" i="17"/>
  <c r="K18" i="17"/>
  <c r="J19" i="17"/>
  <c r="K19" i="17"/>
  <c r="M19" i="17"/>
  <c r="N19" i="17"/>
  <c r="I20" i="17"/>
  <c r="N20" i="17"/>
  <c r="I21" i="17"/>
  <c r="K21" i="17"/>
  <c r="L21" i="17"/>
  <c r="N21" i="17"/>
  <c r="I22" i="17"/>
  <c r="K22" i="17"/>
  <c r="L22" i="17"/>
  <c r="N22" i="17"/>
  <c r="J25" i="17"/>
  <c r="J30" i="17"/>
  <c r="M30" i="17"/>
  <c r="N30" i="17"/>
  <c r="I50" i="17"/>
  <c r="J3" i="17"/>
  <c r="K3" i="17"/>
  <c r="H52" i="17"/>
  <c r="T52" i="17" s="1"/>
  <c r="C52" i="17"/>
  <c r="I52" i="17" s="1"/>
  <c r="E51" i="17"/>
  <c r="K51" i="17" s="1"/>
  <c r="D51" i="17"/>
  <c r="AB51" i="17" s="1"/>
  <c r="M28" i="17"/>
  <c r="J28" i="17"/>
  <c r="T27" i="17"/>
  <c r="AE27" i="17"/>
  <c r="L27" i="17"/>
  <c r="AC27" i="17"/>
  <c r="AB27" i="17"/>
  <c r="H26" i="17"/>
  <c r="G26" i="17"/>
  <c r="F26" i="17"/>
  <c r="E26" i="17"/>
  <c r="D26" i="17"/>
  <c r="H25" i="17"/>
  <c r="G25" i="17"/>
  <c r="F25" i="17"/>
  <c r="E25" i="17"/>
  <c r="AF24" i="17"/>
  <c r="AE24" i="17"/>
  <c r="X24" i="17"/>
  <c r="AC24" i="17"/>
  <c r="P24" i="17"/>
  <c r="H23" i="17"/>
  <c r="AR23" i="17" s="1"/>
  <c r="G23" i="17"/>
  <c r="AQ23" i="17" s="1"/>
  <c r="F23" i="17"/>
  <c r="AP23" i="17" s="1"/>
  <c r="E23" i="17"/>
  <c r="D23" i="17"/>
  <c r="AN23" i="17" s="1"/>
  <c r="C9" i="17"/>
  <c r="C8" i="17"/>
  <c r="R26" i="17" l="1"/>
  <c r="AP26" i="17"/>
  <c r="Z26" i="17"/>
  <c r="AR26" i="17"/>
  <c r="I8" i="17"/>
  <c r="AM8" i="17"/>
  <c r="AC25" i="17"/>
  <c r="AO25" i="17"/>
  <c r="AC23" i="17"/>
  <c r="AO23" i="17"/>
  <c r="N25" i="17"/>
  <c r="AR25" i="17"/>
  <c r="AA9" i="17"/>
  <c r="AM9" i="17"/>
  <c r="P26" i="17"/>
  <c r="AN26" i="17"/>
  <c r="AE26" i="17"/>
  <c r="AQ26" i="17"/>
  <c r="L25" i="17"/>
  <c r="AP25" i="17"/>
  <c r="M25" i="17"/>
  <c r="AQ25" i="17"/>
  <c r="W26" i="17"/>
  <c r="AO26" i="17"/>
  <c r="AM19" i="17"/>
  <c r="AA38" i="17"/>
  <c r="AM38" i="17"/>
  <c r="I38" i="17"/>
  <c r="U38" i="17"/>
  <c r="O38" i="17"/>
  <c r="Z52" i="17"/>
  <c r="AF52" i="17"/>
  <c r="S25" i="17"/>
  <c r="M24" i="17"/>
  <c r="AF26" i="17"/>
  <c r="L24" i="17"/>
  <c r="I9" i="17"/>
  <c r="K24" i="17"/>
  <c r="J24" i="17"/>
  <c r="X26" i="17"/>
  <c r="L26" i="17"/>
  <c r="Q25" i="17"/>
  <c r="O9" i="17"/>
  <c r="Q51" i="17"/>
  <c r="AC26" i="17"/>
  <c r="AB26" i="17"/>
  <c r="V26" i="17"/>
  <c r="N26" i="17"/>
  <c r="Q26" i="17"/>
  <c r="U9" i="17"/>
  <c r="AD24" i="17"/>
  <c r="K25" i="17"/>
  <c r="P51" i="17"/>
  <c r="AD26" i="17"/>
  <c r="V24" i="17"/>
  <c r="U52" i="17"/>
  <c r="M26" i="17"/>
  <c r="O52" i="17"/>
  <c r="AB24" i="17"/>
  <c r="J51" i="17"/>
  <c r="N24" i="17"/>
  <c r="O8" i="17"/>
  <c r="W25" i="17"/>
  <c r="T25" i="17"/>
  <c r="Z25" i="17"/>
  <c r="C19" i="56"/>
  <c r="J19" i="56" s="1"/>
  <c r="Q19" i="56" s="1"/>
  <c r="P27" i="17"/>
  <c r="Y27" i="17"/>
  <c r="D53" i="17"/>
  <c r="P53" i="17" s="1"/>
  <c r="M27" i="17"/>
  <c r="J27" i="17"/>
  <c r="R27" i="17"/>
  <c r="W51" i="17"/>
  <c r="AE25" i="17"/>
  <c r="AA8" i="17"/>
  <c r="AA52" i="17"/>
  <c r="R25" i="17"/>
  <c r="X25" i="17"/>
  <c r="AF25" i="17"/>
  <c r="H53" i="17"/>
  <c r="N53" i="17" s="1"/>
  <c r="N52" i="17"/>
  <c r="K26" i="17"/>
  <c r="Q27" i="17"/>
  <c r="T24" i="17"/>
  <c r="X27" i="17"/>
  <c r="V51" i="17"/>
  <c r="AF27" i="17"/>
  <c r="AD25" i="17"/>
  <c r="AC51" i="17"/>
  <c r="Z27" i="17"/>
  <c r="U8" i="17"/>
  <c r="S24" i="17"/>
  <c r="W27" i="17"/>
  <c r="Z24" i="17"/>
  <c r="Y25" i="17"/>
  <c r="T26" i="17"/>
  <c r="R24" i="17"/>
  <c r="V27" i="17"/>
  <c r="Y24" i="17"/>
  <c r="AD27" i="17"/>
  <c r="G53" i="17"/>
  <c r="M53" i="17" s="1"/>
  <c r="S26" i="17"/>
  <c r="Q24" i="17"/>
  <c r="J26" i="17"/>
  <c r="N27" i="17"/>
  <c r="Y26" i="17"/>
  <c r="W24" i="17"/>
  <c r="F53" i="17"/>
  <c r="L53" i="17" s="1"/>
  <c r="Z23" i="17"/>
  <c r="AB23" i="17"/>
  <c r="T23" i="17"/>
  <c r="Y23" i="17"/>
  <c r="N23" i="17"/>
  <c r="S23" i="17"/>
  <c r="V28" i="17"/>
  <c r="X23" i="17"/>
  <c r="R23" i="17"/>
  <c r="P28" i="17"/>
  <c r="L23" i="17"/>
  <c r="Q23" i="17"/>
  <c r="K23" i="17"/>
  <c r="P23" i="17"/>
  <c r="M23" i="17"/>
  <c r="E53" i="17"/>
  <c r="AC53" i="17" s="1"/>
  <c r="J23" i="17"/>
  <c r="W23" i="17"/>
  <c r="V23" i="17"/>
  <c r="AF23" i="17"/>
  <c r="AE23" i="17"/>
  <c r="AB28" i="17"/>
  <c r="AD23" i="17"/>
  <c r="AE28" i="17"/>
  <c r="Y28" i="17"/>
  <c r="S28" i="17"/>
  <c r="V53" i="17" l="1"/>
  <c r="AB53" i="17"/>
  <c r="S53" i="17"/>
  <c r="X53" i="17"/>
  <c r="AD53" i="17"/>
  <c r="Y53" i="17"/>
  <c r="R53" i="17"/>
  <c r="J53" i="17"/>
  <c r="Z53" i="17"/>
  <c r="T53" i="17"/>
  <c r="AF53" i="17"/>
  <c r="AE53" i="17"/>
  <c r="Q53" i="17"/>
  <c r="K53" i="17"/>
  <c r="W53" i="17"/>
  <c r="B42" i="48"/>
  <c r="O79" i="2"/>
  <c r="D127" i="2" l="1"/>
  <c r="G9" i="41"/>
  <c r="V10" i="21" l="1"/>
  <c r="V12" i="21" s="1"/>
  <c r="J5" i="21" s="1"/>
  <c r="G195" i="3" l="1"/>
  <c r="D120" i="2"/>
  <c r="O193" i="3"/>
  <c r="N193" i="3"/>
  <c r="M193" i="3"/>
  <c r="L193" i="3"/>
  <c r="K193" i="3"/>
  <c r="J193" i="3"/>
  <c r="P191" i="3"/>
  <c r="P192" i="3" s="1"/>
  <c r="B195" i="3" l="1"/>
  <c r="J4" i="21"/>
  <c r="J12" i="21" s="1"/>
  <c r="P193" i="3"/>
  <c r="R4" i="54" l="1"/>
  <c r="Q4" i="54"/>
  <c r="Y14" i="54"/>
  <c r="D25" i="54"/>
  <c r="C25" i="54"/>
  <c r="D24" i="54"/>
  <c r="D26" i="54" s="1"/>
  <c r="D27" i="54" s="1"/>
  <c r="C24" i="54"/>
  <c r="C26" i="54" s="1"/>
  <c r="C27" i="54" s="1"/>
  <c r="U23" i="54"/>
  <c r="T23" i="54"/>
  <c r="S23" i="54"/>
  <c r="R23" i="54"/>
  <c r="Q23" i="54"/>
  <c r="N19" i="54"/>
  <c r="M19" i="54"/>
  <c r="L19" i="54"/>
  <c r="K19" i="54"/>
  <c r="T15" i="54"/>
  <c r="S15" i="54"/>
  <c r="R15" i="54"/>
  <c r="Q15" i="54"/>
  <c r="N13" i="54"/>
  <c r="M13" i="54"/>
  <c r="L13" i="54"/>
  <c r="K13" i="54"/>
  <c r="T8" i="54"/>
  <c r="E12" i="54"/>
  <c r="E13" i="54" s="1"/>
  <c r="D12" i="54"/>
  <c r="N7" i="54"/>
  <c r="M7" i="54"/>
  <c r="L7" i="54"/>
  <c r="K7" i="54"/>
  <c r="X5" i="54"/>
  <c r="X4" i="54"/>
  <c r="X2" i="54"/>
  <c r="N19" i="53"/>
  <c r="M19" i="53"/>
  <c r="L19" i="53"/>
  <c r="K19" i="53"/>
  <c r="N13" i="53"/>
  <c r="M13" i="53"/>
  <c r="L13" i="53"/>
  <c r="K13" i="53"/>
  <c r="D12" i="53"/>
  <c r="N7" i="53"/>
  <c r="M7" i="53"/>
  <c r="L7" i="53"/>
  <c r="K7" i="53"/>
  <c r="G36" i="37"/>
  <c r="D37" i="37"/>
  <c r="E11" i="52"/>
  <c r="K17" i="52"/>
  <c r="K21" i="52" s="1"/>
  <c r="K13" i="52"/>
  <c r="K7" i="52"/>
  <c r="O13" i="52"/>
  <c r="N13" i="52"/>
  <c r="M13" i="52"/>
  <c r="L13" i="52"/>
  <c r="O21" i="52"/>
  <c r="D12" i="52"/>
  <c r="O7" i="52"/>
  <c r="N7" i="52"/>
  <c r="M7" i="52"/>
  <c r="L7" i="52"/>
  <c r="X8" i="52"/>
  <c r="X6" i="52"/>
  <c r="X3" i="52"/>
  <c r="B13" i="51"/>
  <c r="B15" i="51"/>
  <c r="B14" i="51"/>
  <c r="D4" i="51"/>
  <c r="D14" i="50"/>
  <c r="D17" i="54" l="1"/>
  <c r="D13" i="54"/>
  <c r="X6" i="54"/>
  <c r="X8" i="54" s="1"/>
  <c r="R8" i="54"/>
  <c r="Q8" i="54"/>
  <c r="D16" i="54"/>
  <c r="D19" i="54"/>
  <c r="D21" i="54" s="1"/>
  <c r="X9" i="52"/>
  <c r="X12" i="52" s="1"/>
  <c r="N21" i="52"/>
  <c r="L21" i="52"/>
  <c r="M21" i="52"/>
  <c r="U4" i="54" l="1"/>
  <c r="U8" i="54" s="1"/>
  <c r="S4" i="54"/>
  <c r="S8" i="54" s="1"/>
  <c r="D189" i="34"/>
  <c r="M6" i="49" l="1"/>
  <c r="M5" i="49"/>
  <c r="L6" i="49"/>
  <c r="G11" i="49"/>
  <c r="G5" i="49"/>
  <c r="G6" i="49"/>
  <c r="G7" i="49"/>
  <c r="G8" i="49"/>
  <c r="G9" i="49"/>
  <c r="G10" i="49"/>
  <c r="F9" i="49"/>
  <c r="F10" i="49"/>
  <c r="F4" i="49"/>
  <c r="E5" i="49"/>
  <c r="F5" i="49" s="1"/>
  <c r="E6" i="49"/>
  <c r="F6" i="49" s="1"/>
  <c r="E7" i="49"/>
  <c r="F7" i="49" s="1"/>
  <c r="E8" i="49"/>
  <c r="F8" i="49" s="1"/>
  <c r="E9" i="49"/>
  <c r="E10" i="49"/>
  <c r="B11" i="49"/>
  <c r="E11" i="49" s="1"/>
  <c r="F11" i="49" s="1"/>
  <c r="K5" i="49"/>
  <c r="AN8" i="41"/>
  <c r="AN14" i="41"/>
  <c r="AK14" i="41"/>
  <c r="AK8" i="41"/>
  <c r="X45" i="8"/>
  <c r="Y45" i="8" s="1"/>
  <c r="F14" i="48" l="1"/>
  <c r="F13" i="48"/>
  <c r="F6" i="48"/>
  <c r="F12" i="48"/>
  <c r="F11" i="48"/>
  <c r="E21" i="48"/>
  <c r="F7" i="48"/>
  <c r="F8" i="48"/>
  <c r="F9" i="48"/>
  <c r="F10" i="48"/>
  <c r="F15" i="48"/>
  <c r="F5" i="48"/>
  <c r="E10" i="48"/>
  <c r="D10" i="48" s="1"/>
  <c r="E15" i="48"/>
  <c r="D15" i="48" s="1"/>
  <c r="C38" i="48"/>
  <c r="E11" i="48"/>
  <c r="D11" i="48" s="1"/>
  <c r="C37" i="48" l="1"/>
  <c r="E5" i="48"/>
  <c r="E14" i="48"/>
  <c r="D14" i="48" s="1"/>
  <c r="E13" i="48"/>
  <c r="D13" i="48" s="1"/>
  <c r="E6" i="48"/>
  <c r="D6" i="48"/>
  <c r="D5" i="48" l="1"/>
  <c r="D21" i="46"/>
  <c r="C18" i="46" l="1"/>
  <c r="J82" i="2" l="1"/>
  <c r="K82" i="2" s="1"/>
  <c r="K21" i="10"/>
  <c r="E9" i="10" s="1"/>
  <c r="P21" i="10"/>
  <c r="O21" i="10"/>
  <c r="H9" i="10"/>
  <c r="G9" i="10"/>
  <c r="K14" i="9" l="1"/>
  <c r="D193" i="3" l="1"/>
  <c r="D12" i="51"/>
  <c r="AN11" i="41"/>
  <c r="G12" i="41"/>
  <c r="R12" i="41"/>
  <c r="AK11" i="41"/>
  <c r="E112" i="2"/>
  <c r="E113" i="2"/>
  <c r="E114" i="2"/>
  <c r="E115" i="2"/>
  <c r="B111" i="2"/>
  <c r="E111" i="2" s="1"/>
  <c r="K184" i="3" l="1"/>
  <c r="L183" i="3"/>
  <c r="M183" i="3"/>
  <c r="M184" i="3" s="1"/>
  <c r="N183" i="3"/>
  <c r="N184" i="3" s="1"/>
  <c r="O183" i="3"/>
  <c r="O184" i="3" s="1"/>
  <c r="P183" i="3"/>
  <c r="P184" i="3" s="1"/>
  <c r="J183" i="3"/>
  <c r="J184" i="3" s="1"/>
  <c r="L184" i="3"/>
  <c r="L24" i="47"/>
  <c r="L6" i="47"/>
  <c r="L5" i="47"/>
  <c r="D181" i="3" l="1"/>
  <c r="L143" i="3"/>
  <c r="M143" i="3"/>
  <c r="N143" i="3"/>
  <c r="O143" i="3"/>
  <c r="P143" i="3"/>
  <c r="J143" i="3"/>
  <c r="N26" i="47"/>
  <c r="M26" i="47"/>
  <c r="L26" i="47"/>
  <c r="K26" i="47"/>
  <c r="N20" i="47"/>
  <c r="M20" i="47"/>
  <c r="L20" i="47"/>
  <c r="K20" i="47"/>
  <c r="N14" i="47"/>
  <c r="M14" i="47"/>
  <c r="L14" i="47"/>
  <c r="K14" i="47"/>
  <c r="D10" i="47"/>
  <c r="N8" i="47"/>
  <c r="M8" i="47"/>
  <c r="L8" i="47"/>
  <c r="K8" i="47"/>
  <c r="M7" i="46"/>
  <c r="F7" i="46" s="1"/>
  <c r="L7" i="46"/>
  <c r="K7" i="46"/>
  <c r="E7" i="46" s="1"/>
  <c r="J7" i="46"/>
  <c r="D7" i="46" s="1"/>
  <c r="I7" i="46"/>
  <c r="M32" i="45"/>
  <c r="N34" i="45"/>
  <c r="M34" i="45"/>
  <c r="L34" i="45"/>
  <c r="K34" i="45"/>
  <c r="N28" i="45"/>
  <c r="M28" i="45"/>
  <c r="L28" i="45"/>
  <c r="K28" i="45"/>
  <c r="K16" i="45"/>
  <c r="L16" i="45"/>
  <c r="M16" i="45"/>
  <c r="G166" i="3"/>
  <c r="U24" i="45"/>
  <c r="T24" i="45"/>
  <c r="S24" i="45"/>
  <c r="R24" i="45"/>
  <c r="Q24" i="45"/>
  <c r="N22" i="45"/>
  <c r="M22" i="45"/>
  <c r="L22" i="45"/>
  <c r="K22" i="45"/>
  <c r="T16" i="45"/>
  <c r="S16" i="45"/>
  <c r="R16" i="45"/>
  <c r="Q16" i="45"/>
  <c r="N16" i="45"/>
  <c r="T9" i="45"/>
  <c r="D15" i="45"/>
  <c r="N8" i="45"/>
  <c r="M8" i="45"/>
  <c r="L8" i="45"/>
  <c r="K8" i="45"/>
  <c r="X6" i="45"/>
  <c r="X5" i="45"/>
  <c r="X3" i="45"/>
  <c r="D173" i="3"/>
  <c r="E184" i="34"/>
  <c r="E138" i="34"/>
  <c r="F138" i="34" s="1"/>
  <c r="E139" i="34"/>
  <c r="F139" i="34" s="1"/>
  <c r="E144" i="34"/>
  <c r="F144" i="34" s="1"/>
  <c r="E145" i="34"/>
  <c r="F145" i="34" s="1"/>
  <c r="E146" i="34"/>
  <c r="F146" i="34" s="1"/>
  <c r="E137" i="34"/>
  <c r="F137" i="34" s="1"/>
  <c r="K169" i="3" l="1"/>
  <c r="O161" i="3"/>
  <c r="K161" i="3"/>
  <c r="L161" i="3"/>
  <c r="M161" i="3"/>
  <c r="J161" i="3"/>
  <c r="P169" i="3"/>
  <c r="P170" i="3" s="1"/>
  <c r="K170" i="3"/>
  <c r="L169" i="3"/>
  <c r="L170" i="3" s="1"/>
  <c r="M169" i="3"/>
  <c r="M170" i="3" s="1"/>
  <c r="N169" i="3"/>
  <c r="N170" i="3" s="1"/>
  <c r="O169" i="3"/>
  <c r="O170" i="3" s="1"/>
  <c r="N161" i="3"/>
  <c r="N162" i="3" s="1"/>
  <c r="J169" i="3"/>
  <c r="J170" i="3" s="1"/>
  <c r="X7" i="45"/>
  <c r="X9" i="45" s="1"/>
  <c r="U5" i="45" s="1"/>
  <c r="U9" i="45" s="1"/>
  <c r="D159" i="3"/>
  <c r="AC12" i="41"/>
  <c r="D8" i="44"/>
  <c r="D4" i="44"/>
  <c r="D5" i="44"/>
  <c r="D7" i="44"/>
  <c r="B7" i="44"/>
  <c r="D6" i="44"/>
  <c r="B177" i="34"/>
  <c r="G177" i="34" s="1"/>
  <c r="B176" i="34"/>
  <c r="G176" i="34" s="1"/>
  <c r="B175" i="34"/>
  <c r="G175" i="34" s="1"/>
  <c r="B174" i="34"/>
  <c r="G174" i="34" s="1"/>
  <c r="D173" i="34"/>
  <c r="B151" i="34"/>
  <c r="B143" i="34"/>
  <c r="E143" i="34" s="1"/>
  <c r="F143" i="34" s="1"/>
  <c r="B142" i="34"/>
  <c r="E142" i="34" s="1"/>
  <c r="F142" i="34" s="1"/>
  <c r="B141" i="34"/>
  <c r="E141" i="34" s="1"/>
  <c r="F141" i="34" s="1"/>
  <c r="B140" i="34"/>
  <c r="E140" i="34" s="1"/>
  <c r="F140" i="34" s="1"/>
  <c r="D139" i="34"/>
  <c r="L162" i="3" l="1"/>
  <c r="K162" i="3"/>
  <c r="Q5" i="45"/>
  <c r="Q9" i="45" s="1"/>
  <c r="R5" i="45"/>
  <c r="R9" i="45" s="1"/>
  <c r="S5" i="45"/>
  <c r="S9" i="45" s="1"/>
  <c r="M162" i="3"/>
  <c r="B111" i="34"/>
  <c r="B110" i="34"/>
  <c r="B109" i="34"/>
  <c r="B108" i="34"/>
  <c r="D107" i="34"/>
  <c r="H29" i="42" l="1"/>
  <c r="G29" i="42"/>
  <c r="G27" i="62" s="1"/>
  <c r="D29" i="42"/>
  <c r="D27" i="62" s="1"/>
  <c r="H28" i="42"/>
  <c r="H26" i="62" s="1"/>
  <c r="B79" i="34"/>
  <c r="E79" i="34" s="1"/>
  <c r="B78" i="34"/>
  <c r="E78" i="34" s="1"/>
  <c r="B77" i="34"/>
  <c r="E77" i="34" s="1"/>
  <c r="B76" i="34"/>
  <c r="E76" i="34" s="1"/>
  <c r="D75" i="34"/>
  <c r="AB27" i="62" l="1"/>
  <c r="P27" i="62"/>
  <c r="J27" i="62"/>
  <c r="V27" i="62"/>
  <c r="S27" i="62"/>
  <c r="Y27" i="62"/>
  <c r="AE27" i="62"/>
  <c r="M27" i="62"/>
  <c r="H29" i="17"/>
  <c r="AR29" i="17" s="1"/>
  <c r="H27" i="62"/>
  <c r="AF26" i="62"/>
  <c r="T26" i="62"/>
  <c r="Z26" i="62"/>
  <c r="N26" i="62"/>
  <c r="G40" i="42"/>
  <c r="G29" i="17"/>
  <c r="AQ29" i="17" s="1"/>
  <c r="H28" i="17"/>
  <c r="AR28" i="17" s="1"/>
  <c r="H40" i="42"/>
  <c r="D40" i="42"/>
  <c r="D29" i="17"/>
  <c r="AN29" i="17" s="1"/>
  <c r="S10" i="28"/>
  <c r="S9" i="28"/>
  <c r="S6" i="28"/>
  <c r="D147" i="3"/>
  <c r="Z29" i="17" l="1"/>
  <c r="T29" i="17"/>
  <c r="T27" i="62"/>
  <c r="AF27" i="62"/>
  <c r="N27" i="62"/>
  <c r="Z27" i="62"/>
  <c r="N29" i="17"/>
  <c r="AF29" i="17"/>
  <c r="M29" i="17"/>
  <c r="Y29" i="17"/>
  <c r="AE29" i="17"/>
  <c r="S29" i="17"/>
  <c r="N28" i="17"/>
  <c r="Z28" i="17"/>
  <c r="AF28" i="17"/>
  <c r="T28" i="17"/>
  <c r="AB29" i="17"/>
  <c r="V29" i="17"/>
  <c r="P29" i="17"/>
  <c r="J29" i="17"/>
  <c r="E41" i="42" l="1"/>
  <c r="F41" i="42"/>
  <c r="H41" i="42"/>
  <c r="C41" i="42"/>
  <c r="D39" i="42"/>
  <c r="E39" i="42"/>
  <c r="H27" i="42"/>
  <c r="G27" i="42"/>
  <c r="F27" i="42"/>
  <c r="E27" i="42"/>
  <c r="D27" i="42"/>
  <c r="H26" i="42"/>
  <c r="G26" i="42"/>
  <c r="F26" i="42"/>
  <c r="E26" i="42"/>
  <c r="D26" i="42"/>
  <c r="H25" i="42"/>
  <c r="G25" i="42"/>
  <c r="F25" i="42"/>
  <c r="E25" i="42"/>
  <c r="H24" i="42"/>
  <c r="G24" i="42"/>
  <c r="F24" i="42"/>
  <c r="E24" i="42"/>
  <c r="D24" i="42"/>
  <c r="H23" i="42"/>
  <c r="G23" i="42"/>
  <c r="F23" i="42"/>
  <c r="E23" i="42"/>
  <c r="D23" i="42"/>
  <c r="P14" i="7"/>
  <c r="P15" i="7" s="1"/>
  <c r="O14" i="7"/>
  <c r="O15" i="7" s="1"/>
  <c r="N14" i="7"/>
  <c r="N15" i="7" s="1"/>
  <c r="M14" i="7"/>
  <c r="L14" i="7"/>
  <c r="L15" i="7" s="1"/>
  <c r="K14" i="7"/>
  <c r="K15" i="7" s="1"/>
  <c r="E11" i="7"/>
  <c r="P7" i="7"/>
  <c r="O7" i="7"/>
  <c r="K7" i="7"/>
  <c r="D4" i="7"/>
  <c r="D12" i="7" s="1"/>
  <c r="C8" i="42"/>
  <c r="C9" i="42"/>
  <c r="X48" i="8"/>
  <c r="W48" i="8"/>
  <c r="X47" i="8"/>
  <c r="Y47" i="8" s="1"/>
  <c r="X46" i="8"/>
  <c r="Y46" i="8" s="1"/>
  <c r="X44" i="8"/>
  <c r="Y44" i="8" s="1"/>
  <c r="C7" i="6"/>
  <c r="D14" i="10"/>
  <c r="K27" i="10"/>
  <c r="K14" i="10"/>
  <c r="K7" i="10"/>
  <c r="J82" i="3"/>
  <c r="J83" i="3" s="1"/>
  <c r="E7" i="6"/>
  <c r="K133" i="3"/>
  <c r="L122" i="3"/>
  <c r="L123" i="3" s="1"/>
  <c r="M122" i="3"/>
  <c r="M123" i="3" s="1"/>
  <c r="N122" i="3"/>
  <c r="O122" i="3"/>
  <c r="P122" i="3"/>
  <c r="J122" i="3"/>
  <c r="J123" i="3" s="1"/>
  <c r="J103" i="3"/>
  <c r="J104" i="3" s="1"/>
  <c r="K104" i="3"/>
  <c r="L57" i="3"/>
  <c r="L58" i="3" s="1"/>
  <c r="M57" i="3"/>
  <c r="M58" i="3" s="1"/>
  <c r="N57" i="3"/>
  <c r="N58" i="3" s="1"/>
  <c r="O57" i="3"/>
  <c r="P57" i="3"/>
  <c r="J57" i="3"/>
  <c r="J58" i="3" s="1"/>
  <c r="K58" i="3"/>
  <c r="J73" i="3"/>
  <c r="J74" i="3" s="1"/>
  <c r="L73" i="3"/>
  <c r="L74" i="3" s="1"/>
  <c r="M73" i="3"/>
  <c r="M74" i="3" s="1"/>
  <c r="N73" i="3"/>
  <c r="O73" i="3"/>
  <c r="P73" i="3"/>
  <c r="K74" i="3"/>
  <c r="D14" i="7" l="1"/>
  <c r="D13" i="7"/>
  <c r="H42" i="42"/>
  <c r="M15" i="7"/>
  <c r="Y48" i="8"/>
  <c r="Y49" i="8" s="1"/>
  <c r="R9" i="41"/>
  <c r="J133" i="3"/>
  <c r="J134" i="3" s="1"/>
  <c r="J162" i="3"/>
  <c r="P161" i="3"/>
  <c r="P162" i="3" s="1"/>
  <c r="O162" i="3"/>
  <c r="L133" i="3"/>
  <c r="M133" i="3"/>
  <c r="O133" i="3"/>
  <c r="O144" i="3"/>
  <c r="M144" i="3"/>
  <c r="N144" i="3"/>
  <c r="L144" i="3"/>
  <c r="J144" i="3"/>
  <c r="P144" i="3"/>
  <c r="K144" i="3"/>
  <c r="F42" i="42"/>
  <c r="G42" i="42"/>
  <c r="D42" i="42"/>
  <c r="E42" i="42"/>
  <c r="P133" i="3"/>
  <c r="K6" i="34" l="1"/>
  <c r="L6" i="34" s="1"/>
  <c r="D96" i="2"/>
  <c r="B93" i="2"/>
  <c r="A14" i="28" l="1"/>
  <c r="M14" i="28" l="1"/>
  <c r="C14" i="28"/>
  <c r="E14" i="28"/>
  <c r="Q14" i="28" s="1"/>
  <c r="I14" i="28"/>
  <c r="K7" i="39" l="1"/>
  <c r="K8" i="39"/>
  <c r="L13" i="39"/>
  <c r="M13" i="39"/>
  <c r="N13" i="39"/>
  <c r="O13" i="39"/>
  <c r="P13" i="39"/>
  <c r="K13" i="39"/>
  <c r="D12" i="39"/>
  <c r="D13" i="39" s="1"/>
  <c r="P8" i="39"/>
  <c r="O8" i="39"/>
  <c r="N8" i="39"/>
  <c r="M8" i="39"/>
  <c r="L8" i="39"/>
  <c r="K12" i="12"/>
  <c r="E9" i="12" s="1"/>
  <c r="K7" i="12"/>
  <c r="K8" i="11"/>
  <c r="K15" i="11"/>
  <c r="E12" i="11" s="1"/>
  <c r="D36" i="37"/>
  <c r="D38" i="37" s="1"/>
  <c r="D102" i="2" l="1"/>
  <c r="M17" i="12"/>
  <c r="L17" i="12"/>
  <c r="N17" i="12"/>
  <c r="O17" i="12"/>
  <c r="P17" i="12"/>
  <c r="K17" i="12"/>
  <c r="E10" i="12" s="1"/>
  <c r="D15" i="39"/>
  <c r="D14" i="39"/>
  <c r="D17" i="39" s="1"/>
  <c r="D19" i="39" s="1"/>
  <c r="D11" i="50" l="1"/>
  <c r="D191" i="34"/>
  <c r="D145" i="34"/>
  <c r="D179" i="34"/>
  <c r="D113" i="34"/>
  <c r="D81" i="34"/>
  <c r="AN15" i="41" l="1"/>
  <c r="G18" i="41"/>
  <c r="R18" i="41"/>
  <c r="AC17" i="41"/>
  <c r="AK15" i="41"/>
  <c r="K16" i="46"/>
  <c r="L16" i="46"/>
  <c r="E10" i="46" s="1"/>
  <c r="M16" i="46"/>
  <c r="F10" i="46" s="1"/>
  <c r="J16" i="46"/>
  <c r="J20" i="46"/>
  <c r="K20" i="46"/>
  <c r="L20" i="46"/>
  <c r="E11" i="46" s="1"/>
  <c r="D115" i="2"/>
  <c r="D152" i="3"/>
  <c r="K15" i="47"/>
  <c r="M15" i="47"/>
  <c r="G6" i="47" s="1"/>
  <c r="N15" i="47"/>
  <c r="H6" i="47" s="1"/>
  <c r="L15" i="47"/>
  <c r="K17" i="45"/>
  <c r="F6" i="45" s="1"/>
  <c r="L17" i="45"/>
  <c r="G6" i="45" s="1"/>
  <c r="M17" i="45"/>
  <c r="H6" i="45" s="1"/>
  <c r="D150" i="3"/>
  <c r="K21" i="47"/>
  <c r="M21" i="47"/>
  <c r="G7" i="47" s="1"/>
  <c r="N21" i="47"/>
  <c r="H7" i="47" s="1"/>
  <c r="L21" i="47"/>
  <c r="M20" i="46"/>
  <c r="F11" i="46" s="1"/>
  <c r="K29" i="45"/>
  <c r="L29" i="45"/>
  <c r="M29" i="45"/>
  <c r="H8" i="45" s="1"/>
  <c r="D18" i="41"/>
  <c r="Z17" i="41"/>
  <c r="O18" i="41"/>
  <c r="D15" i="41"/>
  <c r="G15" i="41"/>
  <c r="D60" i="34"/>
  <c r="D7" i="41"/>
  <c r="D16" i="41"/>
  <c r="G16" i="41"/>
  <c r="D153" i="3" l="1"/>
  <c r="K27" i="47"/>
  <c r="M27" i="47"/>
  <c r="N27" i="47"/>
  <c r="L27" i="47"/>
  <c r="F8" i="47" s="1"/>
  <c r="F6" i="47"/>
  <c r="F7" i="47"/>
  <c r="G17" i="41"/>
  <c r="D17" i="41"/>
  <c r="C28" i="37"/>
  <c r="K20" i="9" l="1"/>
  <c r="K21" i="9" s="1"/>
  <c r="E9" i="9" s="1"/>
  <c r="K8" i="9"/>
  <c r="E13" i="9" s="1"/>
  <c r="D10" i="17" s="1"/>
  <c r="J113" i="3"/>
  <c r="J114" i="3" s="1"/>
  <c r="B28" i="34" l="1"/>
  <c r="B14" i="2" l="1"/>
  <c r="N12" i="12" l="1"/>
  <c r="H9" i="12" s="1"/>
  <c r="R4" i="34" l="1"/>
  <c r="D136" i="3"/>
  <c r="K134" i="3" l="1"/>
  <c r="L134" i="3"/>
  <c r="M134" i="3"/>
  <c r="N134" i="3"/>
  <c r="O134" i="3"/>
  <c r="P134" i="3"/>
  <c r="U23" i="18" l="1"/>
  <c r="T23" i="18"/>
  <c r="S23" i="18"/>
  <c r="R23" i="18"/>
  <c r="Q23" i="18"/>
  <c r="T15" i="18"/>
  <c r="S15" i="18"/>
  <c r="R15" i="18"/>
  <c r="Q15" i="18"/>
  <c r="X5" i="18"/>
  <c r="X4" i="18"/>
  <c r="X2" i="18"/>
  <c r="T8" i="18"/>
  <c r="E4" i="34"/>
  <c r="E5" i="34"/>
  <c r="E10" i="34"/>
  <c r="E11" i="34"/>
  <c r="E13" i="34"/>
  <c r="E14" i="34"/>
  <c r="E3" i="34"/>
  <c r="X6" i="18" l="1"/>
  <c r="X8" i="18" s="1"/>
  <c r="U4" i="18" s="1"/>
  <c r="U8" i="18" s="1"/>
  <c r="D13" i="34"/>
  <c r="R6" i="34"/>
  <c r="D152" i="34" s="1"/>
  <c r="B12" i="34"/>
  <c r="B9" i="34"/>
  <c r="E9" i="34" s="1"/>
  <c r="B8" i="34"/>
  <c r="E8" i="34" s="1"/>
  <c r="B7" i="34"/>
  <c r="E7" i="34" s="1"/>
  <c r="B6" i="34"/>
  <c r="E6" i="34" s="1"/>
  <c r="D14" i="34" l="1"/>
  <c r="D12" i="34"/>
  <c r="E12" i="34"/>
  <c r="D113" i="2"/>
  <c r="D183" i="3"/>
  <c r="C39" i="48"/>
  <c r="D9" i="50"/>
  <c r="E8" i="48"/>
  <c r="D8" i="48" s="1"/>
  <c r="D5" i="49"/>
  <c r="F14" i="6"/>
  <c r="E9" i="48"/>
  <c r="D9" i="48" s="1"/>
  <c r="D198" i="34"/>
  <c r="D203" i="34"/>
  <c r="K28" i="10"/>
  <c r="E11" i="10" s="1"/>
  <c r="R16" i="41"/>
  <c r="D196" i="34"/>
  <c r="D6" i="51" l="1"/>
  <c r="D15" i="51"/>
  <c r="D22" i="49"/>
  <c r="D121" i="2"/>
  <c r="D202" i="34"/>
  <c r="D122" i="2"/>
  <c r="J22" i="43"/>
  <c r="C42" i="48"/>
  <c r="D10" i="50"/>
  <c r="C40" i="48"/>
  <c r="D190" i="3"/>
  <c r="AN9" i="41"/>
  <c r="D128" i="2"/>
  <c r="G10" i="41"/>
  <c r="AC10" i="41"/>
  <c r="R10" i="41"/>
  <c r="G11" i="41"/>
  <c r="R11" i="41"/>
  <c r="AC11" i="41"/>
  <c r="D13" i="51"/>
  <c r="D130" i="2"/>
  <c r="D131" i="2"/>
  <c r="G13" i="41"/>
  <c r="R13" i="41"/>
  <c r="AC13" i="41"/>
  <c r="G14" i="41"/>
  <c r="R14" i="41"/>
  <c r="AC14" i="41"/>
  <c r="D199" i="34"/>
  <c r="D129" i="2"/>
  <c r="C41" i="48"/>
  <c r="D7" i="49"/>
  <c r="D192" i="3"/>
  <c r="K22" i="52"/>
  <c r="E9" i="52" s="1"/>
  <c r="Q9" i="54"/>
  <c r="S9" i="54"/>
  <c r="L22" i="52"/>
  <c r="F9" i="52" s="1"/>
  <c r="R9" i="54"/>
  <c r="M22" i="52"/>
  <c r="G9" i="52" s="1"/>
  <c r="N22" i="52"/>
  <c r="H9" i="52" s="1"/>
  <c r="D12" i="50"/>
  <c r="D200" i="34"/>
  <c r="D6" i="50"/>
  <c r="D5" i="51"/>
  <c r="D193" i="34"/>
  <c r="D6" i="49"/>
  <c r="D8" i="50"/>
  <c r="D194" i="34"/>
  <c r="AN13" i="41"/>
  <c r="D191" i="3"/>
  <c r="D10" i="51"/>
  <c r="D4" i="50"/>
  <c r="D197" i="34"/>
  <c r="D11" i="49"/>
  <c r="M14" i="54"/>
  <c r="H8" i="54" s="1"/>
  <c r="L14" i="54"/>
  <c r="G8" i="54" s="1"/>
  <c r="K14" i="54"/>
  <c r="F8" i="54" s="1"/>
  <c r="D14" i="51"/>
  <c r="U16" i="54"/>
  <c r="T16" i="54"/>
  <c r="R16" i="54"/>
  <c r="S16" i="54"/>
  <c r="L14" i="52"/>
  <c r="F8" i="52" s="1"/>
  <c r="Q16" i="54"/>
  <c r="N14" i="52"/>
  <c r="H8" i="52" s="1"/>
  <c r="M14" i="52"/>
  <c r="G8" i="52" s="1"/>
  <c r="N14" i="54"/>
  <c r="K14" i="52"/>
  <c r="E8" i="52" s="1"/>
  <c r="O14" i="52"/>
  <c r="K14" i="53"/>
  <c r="F8" i="53" s="1"/>
  <c r="M14" i="53"/>
  <c r="H8" i="53" s="1"/>
  <c r="N14" i="53"/>
  <c r="L14" i="53"/>
  <c r="G8" i="53" s="1"/>
  <c r="N20" i="54"/>
  <c r="M20" i="54"/>
  <c r="H9" i="54" s="1"/>
  <c r="L20" i="54"/>
  <c r="G9" i="54" s="1"/>
  <c r="K20" i="54"/>
  <c r="F9" i="54" s="1"/>
  <c r="N20" i="53"/>
  <c r="K20" i="53"/>
  <c r="F9" i="53" s="1"/>
  <c r="L20" i="53"/>
  <c r="G9" i="53" s="1"/>
  <c r="M20" i="53"/>
  <c r="H9" i="53" s="1"/>
  <c r="D7" i="51"/>
  <c r="D7" i="50"/>
  <c r="D195" i="34"/>
  <c r="D10" i="49"/>
  <c r="D20" i="49" s="1"/>
  <c r="D25" i="49" s="1"/>
  <c r="D9" i="51"/>
  <c r="D5" i="50"/>
  <c r="D13" i="50"/>
  <c r="D190" i="34"/>
  <c r="D194" i="3"/>
  <c r="D8" i="51"/>
  <c r="AN12" i="41"/>
  <c r="D11" i="51"/>
  <c r="D192" i="34"/>
  <c r="L35" i="45"/>
  <c r="K35" i="45"/>
  <c r="M35" i="45"/>
  <c r="H7" i="45" s="1"/>
  <c r="D32" i="34"/>
  <c r="F9" i="43"/>
  <c r="H9" i="43"/>
  <c r="AN10" i="41"/>
  <c r="D4" i="49"/>
  <c r="AN16" i="41"/>
  <c r="AK16" i="41"/>
  <c r="K4" i="49"/>
  <c r="D8" i="49"/>
  <c r="K6" i="49"/>
  <c r="AK9" i="41"/>
  <c r="AK10" i="41"/>
  <c r="AK13" i="41"/>
  <c r="AK12" i="41"/>
  <c r="D7" i="48"/>
  <c r="E7" i="48"/>
  <c r="E22" i="48"/>
  <c r="E12" i="48"/>
  <c r="D12" i="48" s="1"/>
  <c r="D175" i="3"/>
  <c r="D171" i="3"/>
  <c r="K20" i="12"/>
  <c r="E11" i="12" s="1"/>
  <c r="D112" i="2"/>
  <c r="J24" i="43"/>
  <c r="D104" i="2"/>
  <c r="D174" i="3"/>
  <c r="D170" i="3"/>
  <c r="D94" i="2"/>
  <c r="D103" i="2"/>
  <c r="D131" i="3"/>
  <c r="D172" i="3"/>
  <c r="D114" i="2"/>
  <c r="D111" i="2"/>
  <c r="D182" i="3"/>
  <c r="D167" i="3"/>
  <c r="D160" i="3"/>
  <c r="D163" i="3" s="1"/>
  <c r="O16" i="41"/>
  <c r="U17" i="45"/>
  <c r="Q17" i="45"/>
  <c r="N17" i="45"/>
  <c r="R17" i="45"/>
  <c r="S17" i="45"/>
  <c r="T17" i="45"/>
  <c r="N29" i="45"/>
  <c r="N23" i="45"/>
  <c r="N35" i="45"/>
  <c r="D142" i="3"/>
  <c r="D168" i="3"/>
  <c r="R17" i="41"/>
  <c r="O17" i="41"/>
  <c r="Q10" i="45"/>
  <c r="R10" i="45"/>
  <c r="S10" i="45"/>
  <c r="D133" i="3"/>
  <c r="D184" i="3"/>
  <c r="D185" i="3"/>
  <c r="D169" i="3"/>
  <c r="D151" i="3"/>
  <c r="D176" i="3"/>
  <c r="D142" i="34"/>
  <c r="D176" i="34"/>
  <c r="D110" i="34"/>
  <c r="Z14" i="41"/>
  <c r="D172" i="34"/>
  <c r="D138" i="34"/>
  <c r="D106" i="34"/>
  <c r="D76" i="34"/>
  <c r="D174" i="34"/>
  <c r="D140" i="34"/>
  <c r="D108" i="34"/>
  <c r="D118" i="34"/>
  <c r="F13" i="37"/>
  <c r="F14" i="43"/>
  <c r="H7" i="43"/>
  <c r="F7" i="43"/>
  <c r="Z12" i="41"/>
  <c r="D87" i="34"/>
  <c r="D153" i="34"/>
  <c r="D119" i="34"/>
  <c r="D80" i="34"/>
  <c r="D178" i="34"/>
  <c r="D144" i="34"/>
  <c r="D112" i="34"/>
  <c r="D143" i="34"/>
  <c r="D177" i="34"/>
  <c r="D111" i="34"/>
  <c r="D146" i="34"/>
  <c r="D184" i="34"/>
  <c r="D151" i="34"/>
  <c r="H16" i="37"/>
  <c r="H17" i="43"/>
  <c r="F11" i="37"/>
  <c r="F12" i="43"/>
  <c r="AJ5" i="8"/>
  <c r="J23" i="43"/>
  <c r="D149" i="3"/>
  <c r="Z10" i="41"/>
  <c r="H18" i="37"/>
  <c r="H19" i="43"/>
  <c r="H6" i="43"/>
  <c r="F6" i="43"/>
  <c r="D137" i="34"/>
  <c r="D171" i="34"/>
  <c r="Z11" i="41"/>
  <c r="D105" i="34"/>
  <c r="S16" i="28"/>
  <c r="H20" i="43"/>
  <c r="F15" i="43"/>
  <c r="D141" i="34"/>
  <c r="D175" i="34"/>
  <c r="D109" i="34"/>
  <c r="D146" i="3"/>
  <c r="Z13" i="41"/>
  <c r="S15" i="28"/>
  <c r="H18" i="43"/>
  <c r="F13" i="43"/>
  <c r="D73" i="34"/>
  <c r="D143" i="3"/>
  <c r="D55" i="34"/>
  <c r="D78" i="34"/>
  <c r="D145" i="3"/>
  <c r="D74" i="34"/>
  <c r="D141" i="3"/>
  <c r="D77" i="34"/>
  <c r="D144" i="3"/>
  <c r="S14" i="28"/>
  <c r="D56" i="34"/>
  <c r="D79" i="34"/>
  <c r="D148" i="3"/>
  <c r="O14" i="41"/>
  <c r="D14" i="41"/>
  <c r="F15" i="6"/>
  <c r="D15" i="6"/>
  <c r="O13" i="41"/>
  <c r="D105" i="2"/>
  <c r="D13" i="41"/>
  <c r="D95" i="2"/>
  <c r="D106" i="2"/>
  <c r="D24" i="34"/>
  <c r="D92" i="2"/>
  <c r="R8" i="41"/>
  <c r="O8" i="41"/>
  <c r="E8" i="7"/>
  <c r="G8" i="7"/>
  <c r="F8" i="7"/>
  <c r="H8" i="7"/>
  <c r="O11" i="41"/>
  <c r="D11" i="41"/>
  <c r="F17" i="6"/>
  <c r="D17" i="6"/>
  <c r="D132" i="3"/>
  <c r="R7" i="41"/>
  <c r="O7" i="41"/>
  <c r="D12" i="41"/>
  <c r="O12" i="41"/>
  <c r="D93" i="2"/>
  <c r="O9" i="41"/>
  <c r="D101" i="2"/>
  <c r="D9" i="41"/>
  <c r="D10" i="41"/>
  <c r="O10" i="41"/>
  <c r="D91" i="2"/>
  <c r="D28" i="34"/>
  <c r="L14" i="39"/>
  <c r="F9" i="39" s="1"/>
  <c r="O14" i="39"/>
  <c r="M14" i="39"/>
  <c r="G9" i="39" s="1"/>
  <c r="K14" i="39"/>
  <c r="E9" i="39" s="1"/>
  <c r="P14" i="39"/>
  <c r="N14" i="39"/>
  <c r="H9" i="39" s="1"/>
  <c r="D27" i="34"/>
  <c r="J15" i="13"/>
  <c r="D11" i="13" s="1"/>
  <c r="J23" i="37"/>
  <c r="AJ6" i="8"/>
  <c r="J21" i="37"/>
  <c r="AJ4" i="8"/>
  <c r="O6" i="8"/>
  <c r="H19" i="37"/>
  <c r="F14" i="37"/>
  <c r="J22" i="37"/>
  <c r="F12" i="37"/>
  <c r="H17" i="37"/>
  <c r="D25" i="34"/>
  <c r="D26" i="34"/>
  <c r="D134" i="3"/>
  <c r="D23" i="34"/>
  <c r="O5" i="8"/>
  <c r="D33" i="34"/>
  <c r="F41" i="37"/>
  <c r="F42" i="37" s="1"/>
  <c r="H41" i="37"/>
  <c r="H42" i="37" s="1"/>
  <c r="J42" i="37" s="1"/>
  <c r="D41" i="37"/>
  <c r="D42" i="37" s="1"/>
  <c r="F31" i="37"/>
  <c r="H31" i="37"/>
  <c r="D31" i="37"/>
  <c r="O7" i="8"/>
  <c r="F33" i="37"/>
  <c r="H33" i="37"/>
  <c r="D33" i="37"/>
  <c r="H28" i="37"/>
  <c r="F28" i="37"/>
  <c r="D28" i="37"/>
  <c r="K15" i="9"/>
  <c r="E8" i="9" s="1"/>
  <c r="D135" i="3"/>
  <c r="D10" i="34"/>
  <c r="D9" i="34"/>
  <c r="D8" i="34"/>
  <c r="D4" i="34"/>
  <c r="D7" i="34"/>
  <c r="D11" i="34"/>
  <c r="D5" i="34"/>
  <c r="D6" i="34"/>
  <c r="D3" i="34"/>
  <c r="U16" i="18"/>
  <c r="Q16" i="18"/>
  <c r="R16" i="18"/>
  <c r="S16" i="18"/>
  <c r="T16" i="18"/>
  <c r="D61" i="34" l="1"/>
  <c r="D63" i="34" s="1"/>
  <c r="J25" i="37"/>
  <c r="D16" i="49"/>
  <c r="D30" i="49"/>
  <c r="D31" i="49" s="1"/>
  <c r="D27" i="49"/>
  <c r="D68" i="34"/>
  <c r="D230" i="34" s="1"/>
  <c r="H8" i="21"/>
  <c r="D123" i="2"/>
  <c r="G121" i="2" s="1"/>
  <c r="D195" i="3" s="1"/>
  <c r="D196" i="3" s="1"/>
  <c r="C43" i="48"/>
  <c r="C44" i="48" s="1"/>
  <c r="C45" i="48" s="1"/>
  <c r="D132" i="2"/>
  <c r="G128" i="2" s="1"/>
  <c r="E16" i="48"/>
  <c r="L12" i="48" s="1"/>
  <c r="D204" i="34"/>
  <c r="D206" i="34" s="1"/>
  <c r="D18" i="50"/>
  <c r="D18" i="51"/>
  <c r="D20" i="51" s="1"/>
  <c r="K7" i="49"/>
  <c r="K8" i="49" s="1"/>
  <c r="D9" i="49" s="1"/>
  <c r="D15" i="49" s="1"/>
  <c r="J26" i="43"/>
  <c r="H20" i="37"/>
  <c r="D116" i="2"/>
  <c r="G112" i="2" s="1"/>
  <c r="J12" i="46" s="1"/>
  <c r="G159" i="3"/>
  <c r="Z16" i="41" s="1"/>
  <c r="V160" i="3"/>
  <c r="V162" i="3" s="1"/>
  <c r="W160" i="3"/>
  <c r="W162" i="3" s="1"/>
  <c r="X160" i="3"/>
  <c r="X162" i="3" s="1"/>
  <c r="T160" i="3"/>
  <c r="T162" i="3" s="1"/>
  <c r="U160" i="3"/>
  <c r="U162" i="3" s="1"/>
  <c r="D177" i="3"/>
  <c r="D186" i="3"/>
  <c r="U182" i="3" s="1"/>
  <c r="D147" i="34"/>
  <c r="D149" i="34" s="1"/>
  <c r="D156" i="34" s="1"/>
  <c r="C41" i="17" s="1"/>
  <c r="D107" i="2"/>
  <c r="G102" i="2" s="1"/>
  <c r="D114" i="34"/>
  <c r="D116" i="34" s="1"/>
  <c r="D122" i="34" s="1"/>
  <c r="C40" i="17" s="1"/>
  <c r="D180" i="34"/>
  <c r="D182" i="34" s="1"/>
  <c r="D185" i="34" s="1"/>
  <c r="D229" i="34" s="1"/>
  <c r="F16" i="43"/>
  <c r="H21" i="43"/>
  <c r="D82" i="34"/>
  <c r="D84" i="34" s="1"/>
  <c r="D90" i="34" s="1"/>
  <c r="D231" i="34" s="1"/>
  <c r="D97" i="2"/>
  <c r="G92" i="2" s="1"/>
  <c r="G95" i="2" s="1"/>
  <c r="G5" i="21" s="1"/>
  <c r="F15" i="37"/>
  <c r="AJ8" i="8"/>
  <c r="D137" i="3"/>
  <c r="G131" i="3" s="1"/>
  <c r="D29" i="34"/>
  <c r="D31" i="34" s="1"/>
  <c r="D41" i="34" s="1"/>
  <c r="D42" i="34" s="1"/>
  <c r="O8" i="8"/>
  <c r="D15" i="34"/>
  <c r="D18" i="34" s="1"/>
  <c r="E8" i="55" l="1"/>
  <c r="V10" i="12"/>
  <c r="V14" i="11"/>
  <c r="U21" i="9"/>
  <c r="J17" i="34"/>
  <c r="C36" i="17"/>
  <c r="O36" i="17" s="1"/>
  <c r="D34" i="49"/>
  <c r="D35" i="49" s="1"/>
  <c r="AM40" i="17"/>
  <c r="AM41" i="17"/>
  <c r="D20" i="50"/>
  <c r="I41" i="17"/>
  <c r="U41" i="17"/>
  <c r="O41" i="17"/>
  <c r="AA41" i="17"/>
  <c r="I40" i="17"/>
  <c r="O40" i="17"/>
  <c r="AA40" i="17"/>
  <c r="U40" i="17"/>
  <c r="W191" i="3"/>
  <c r="T191" i="3"/>
  <c r="AC16" i="41"/>
  <c r="AF16" i="41"/>
  <c r="K15" i="10"/>
  <c r="E10" i="10" s="1"/>
  <c r="D12" i="49"/>
  <c r="V191" i="3"/>
  <c r="G190" i="3"/>
  <c r="X191" i="3"/>
  <c r="U191" i="3"/>
  <c r="Z191" i="3"/>
  <c r="Y191" i="3"/>
  <c r="M12" i="46"/>
  <c r="K12" i="46"/>
  <c r="L12" i="46"/>
  <c r="I12" i="46"/>
  <c r="G181" i="3"/>
  <c r="U184" i="3"/>
  <c r="F4" i="47" s="1"/>
  <c r="Y182" i="3"/>
  <c r="Y184" i="3" s="1"/>
  <c r="V182" i="3"/>
  <c r="V184" i="3" s="1"/>
  <c r="G4" i="47" s="1"/>
  <c r="W182" i="3"/>
  <c r="W184" i="3" s="1"/>
  <c r="H4" i="47" s="1"/>
  <c r="X182" i="3"/>
  <c r="X184" i="3" s="1"/>
  <c r="Z182" i="3"/>
  <c r="Z184" i="3" s="1"/>
  <c r="T182" i="3"/>
  <c r="T184" i="3" s="1"/>
  <c r="E4" i="47" s="1"/>
  <c r="E10" i="47" s="1"/>
  <c r="F177" i="3"/>
  <c r="Y168" i="3"/>
  <c r="Y170" i="3" s="1"/>
  <c r="Z168" i="3"/>
  <c r="Z170" i="3" s="1"/>
  <c r="W168" i="3"/>
  <c r="W170" i="3" s="1"/>
  <c r="H4" i="45" s="1"/>
  <c r="T168" i="3"/>
  <c r="T170" i="3" s="1"/>
  <c r="E4" i="45" s="1"/>
  <c r="E15" i="45" s="1"/>
  <c r="U168" i="3"/>
  <c r="U170" i="3" s="1"/>
  <c r="F4" i="45" s="1"/>
  <c r="V168" i="3"/>
  <c r="V170" i="3" s="1"/>
  <c r="G4" i="45" s="1"/>
  <c r="X168" i="3"/>
  <c r="X170" i="3" s="1"/>
  <c r="G167" i="3"/>
  <c r="Z160" i="3"/>
  <c r="Z162" i="3" s="1"/>
  <c r="Y160" i="3"/>
  <c r="Y162" i="3" s="1"/>
  <c r="O9" i="39"/>
  <c r="L9" i="47"/>
  <c r="N9" i="47"/>
  <c r="H5" i="47" s="1"/>
  <c r="M9" i="47"/>
  <c r="G5" i="47" s="1"/>
  <c r="K9" i="47"/>
  <c r="P9" i="39"/>
  <c r="N9" i="39"/>
  <c r="M9" i="39"/>
  <c r="L9" i="39"/>
  <c r="K9" i="39"/>
  <c r="D159" i="34"/>
  <c r="D158" i="34"/>
  <c r="D124" i="34"/>
  <c r="D125" i="34"/>
  <c r="E13" i="10"/>
  <c r="Z132" i="3"/>
  <c r="V132" i="3"/>
  <c r="Y132" i="3"/>
  <c r="T132" i="3"/>
  <c r="T134" i="3" s="1"/>
  <c r="W132" i="3"/>
  <c r="X132" i="3"/>
  <c r="U132" i="3"/>
  <c r="E13" i="12"/>
  <c r="E11" i="9"/>
  <c r="E17" i="11"/>
  <c r="E11" i="39"/>
  <c r="D36" i="34"/>
  <c r="D38" i="34" s="1"/>
  <c r="D45" i="34"/>
  <c r="U36" i="17" l="1"/>
  <c r="AA36" i="17"/>
  <c r="I36" i="17"/>
  <c r="AM36" i="17"/>
  <c r="C37" i="17"/>
  <c r="I19" i="17"/>
  <c r="U19" i="17"/>
  <c r="O19" i="17"/>
  <c r="AA19" i="17"/>
  <c r="D46" i="34"/>
  <c r="D129" i="34"/>
  <c r="D133" i="34" s="1"/>
  <c r="F5" i="47"/>
  <c r="D163" i="34"/>
  <c r="D167" i="34" s="1"/>
  <c r="O6" i="28"/>
  <c r="C6" i="28"/>
  <c r="C15" i="28"/>
  <c r="C16" i="28"/>
  <c r="O14" i="28"/>
  <c r="O15" i="28"/>
  <c r="O16" i="28"/>
  <c r="K14" i="28"/>
  <c r="K15" i="28"/>
  <c r="K16" i="28"/>
  <c r="G15" i="28"/>
  <c r="G16" i="28"/>
  <c r="G14" i="28"/>
  <c r="M20" i="12"/>
  <c r="N20" i="12"/>
  <c r="O20" i="12"/>
  <c r="P20" i="12"/>
  <c r="L20" i="12"/>
  <c r="F10" i="12"/>
  <c r="AF5" i="8"/>
  <c r="AF6" i="8"/>
  <c r="AF7" i="8"/>
  <c r="AF4" i="8"/>
  <c r="AB5" i="8"/>
  <c r="AB4" i="8"/>
  <c r="S5" i="8"/>
  <c r="S4" i="8"/>
  <c r="K5" i="8"/>
  <c r="K6" i="8"/>
  <c r="K7" i="8"/>
  <c r="K4" i="8"/>
  <c r="G5" i="8"/>
  <c r="G6" i="8"/>
  <c r="G7" i="8"/>
  <c r="G4" i="8"/>
  <c r="C5" i="8"/>
  <c r="C6" i="8"/>
  <c r="C4" i="8"/>
  <c r="D126" i="3"/>
  <c r="D121" i="3"/>
  <c r="D122" i="3"/>
  <c r="D123" i="3"/>
  <c r="D124" i="3"/>
  <c r="D120" i="3"/>
  <c r="D112" i="3"/>
  <c r="D113" i="3"/>
  <c r="D114" i="3"/>
  <c r="D115" i="3"/>
  <c r="D111" i="3"/>
  <c r="D102" i="3"/>
  <c r="D103" i="3"/>
  <c r="D104" i="3"/>
  <c r="D105" i="3"/>
  <c r="D106" i="3"/>
  <c r="D101" i="3"/>
  <c r="D91" i="3"/>
  <c r="D93" i="3"/>
  <c r="D94" i="3"/>
  <c r="D95" i="3"/>
  <c r="D96" i="3"/>
  <c r="D90" i="3"/>
  <c r="D89" i="3"/>
  <c r="D84" i="3"/>
  <c r="D81" i="3"/>
  <c r="D82" i="3"/>
  <c r="D83" i="3"/>
  <c r="D80" i="3"/>
  <c r="D72" i="3"/>
  <c r="D73" i="3"/>
  <c r="D74" i="3"/>
  <c r="D75" i="3"/>
  <c r="D71" i="3"/>
  <c r="D61" i="3"/>
  <c r="D62" i="3"/>
  <c r="D63" i="3"/>
  <c r="D64" i="3"/>
  <c r="D65" i="3"/>
  <c r="D66" i="3"/>
  <c r="D56" i="3"/>
  <c r="D57" i="3"/>
  <c r="D58" i="3"/>
  <c r="D59" i="3"/>
  <c r="D60" i="3"/>
  <c r="D55" i="3"/>
  <c r="D45" i="3"/>
  <c r="D46" i="3"/>
  <c r="D47" i="3"/>
  <c r="D49" i="3"/>
  <c r="D44" i="3"/>
  <c r="D39" i="3"/>
  <c r="D37" i="3"/>
  <c r="D38" i="3"/>
  <c r="D36" i="3"/>
  <c r="D29" i="3"/>
  <c r="D30" i="3"/>
  <c r="D31" i="3"/>
  <c r="D28" i="3"/>
  <c r="D20" i="3"/>
  <c r="D22" i="3"/>
  <c r="D5" i="3"/>
  <c r="D6" i="3"/>
  <c r="D4" i="3"/>
  <c r="D81" i="2"/>
  <c r="D82" i="2"/>
  <c r="D83" i="2"/>
  <c r="D84" i="2"/>
  <c r="D85" i="2"/>
  <c r="D86" i="2"/>
  <c r="D71" i="2"/>
  <c r="D72" i="2"/>
  <c r="D73" i="2"/>
  <c r="D70" i="2"/>
  <c r="D64" i="2"/>
  <c r="D63" i="2"/>
  <c r="D57" i="2"/>
  <c r="D58" i="2"/>
  <c r="D56" i="2"/>
  <c r="D51" i="2"/>
  <c r="D50" i="2"/>
  <c r="D41" i="2"/>
  <c r="D42" i="2"/>
  <c r="D43" i="2"/>
  <c r="D44" i="2"/>
  <c r="D40" i="2"/>
  <c r="D32" i="2"/>
  <c r="D33" i="2"/>
  <c r="D23" i="2"/>
  <c r="D24" i="2"/>
  <c r="D22" i="2"/>
  <c r="D12" i="2"/>
  <c r="I37" i="17" l="1"/>
  <c r="AA37" i="17"/>
  <c r="O37" i="17"/>
  <c r="U37" i="17"/>
  <c r="AM37" i="17"/>
  <c r="C17" i="28"/>
  <c r="C3" i="61"/>
  <c r="D3" i="61"/>
  <c r="S8" i="8"/>
  <c r="C11" i="9" s="1"/>
  <c r="O10" i="28"/>
  <c r="D59" i="2"/>
  <c r="D40" i="3"/>
  <c r="G36" i="3" s="1"/>
  <c r="G10" i="28"/>
  <c r="K10" i="28"/>
  <c r="C11" i="7" l="1"/>
  <c r="C8" i="55"/>
  <c r="F5" i="6"/>
  <c r="D14" i="6"/>
  <c r="D13" i="2"/>
  <c r="D14" i="2"/>
  <c r="D15" i="2"/>
  <c r="D16" i="2"/>
  <c r="D5" i="2"/>
  <c r="D6" i="2"/>
  <c r="D7" i="2"/>
  <c r="D18" i="2" l="1"/>
  <c r="G13" i="2" s="1"/>
  <c r="C19" i="21" l="1"/>
  <c r="S8" i="11"/>
  <c r="V7" i="11" s="1"/>
  <c r="R17" i="9"/>
  <c r="U16" i="9" s="1"/>
  <c r="S7" i="12"/>
  <c r="V5" i="12" s="1"/>
  <c r="K5" i="21"/>
  <c r="K19" i="21"/>
  <c r="C5" i="21"/>
  <c r="E5" i="61"/>
  <c r="C7" i="28"/>
  <c r="I13" i="2"/>
  <c r="F5" i="61"/>
  <c r="T9" i="54"/>
  <c r="N8" i="54"/>
  <c r="M8" i="54"/>
  <c r="H6" i="54" s="1"/>
  <c r="L8" i="54"/>
  <c r="G6" i="54" s="1"/>
  <c r="K8" i="54"/>
  <c r="F6" i="54" s="1"/>
  <c r="U24" i="54"/>
  <c r="T24" i="54"/>
  <c r="Q24" i="54"/>
  <c r="S24" i="54"/>
  <c r="R24" i="54"/>
  <c r="U9" i="54"/>
  <c r="N8" i="53"/>
  <c r="M8" i="53"/>
  <c r="H6" i="53" s="1"/>
  <c r="L8" i="52"/>
  <c r="F6" i="52" s="1"/>
  <c r="M8" i="52"/>
  <c r="G6" i="52" s="1"/>
  <c r="N8" i="52"/>
  <c r="H6" i="52" s="1"/>
  <c r="O8" i="52"/>
  <c r="O22" i="52"/>
  <c r="K8" i="52"/>
  <c r="E6" i="52" s="1"/>
  <c r="K8" i="53"/>
  <c r="F6" i="53" s="1"/>
  <c r="L8" i="53"/>
  <c r="G6" i="53" s="1"/>
  <c r="M9" i="45"/>
  <c r="H5" i="45" s="1"/>
  <c r="L8" i="46"/>
  <c r="K8" i="46"/>
  <c r="E6" i="46" s="1"/>
  <c r="J8" i="46"/>
  <c r="D6" i="46" s="1"/>
  <c r="I8" i="46"/>
  <c r="M8" i="46"/>
  <c r="F6" i="46" s="1"/>
  <c r="R25" i="45"/>
  <c r="K9" i="45"/>
  <c r="F5" i="45" s="1"/>
  <c r="L9" i="45"/>
  <c r="G5" i="45" s="1"/>
  <c r="N9" i="45"/>
  <c r="S25" i="45"/>
  <c r="T25" i="45"/>
  <c r="T10" i="45"/>
  <c r="Q25" i="45"/>
  <c r="U25" i="45"/>
  <c r="U10" i="45"/>
  <c r="F10" i="43"/>
  <c r="D10" i="43"/>
  <c r="H10" i="43"/>
  <c r="K8" i="10"/>
  <c r="E6" i="10" s="1"/>
  <c r="K8" i="12"/>
  <c r="E6" i="12" s="1"/>
  <c r="H7" i="39"/>
  <c r="K9" i="11"/>
  <c r="E9" i="11" s="1"/>
  <c r="G7" i="39"/>
  <c r="F7" i="39"/>
  <c r="H5" i="21" l="1"/>
  <c r="L15" i="11" l="1"/>
  <c r="F12" i="11" s="1"/>
  <c r="J91" i="3"/>
  <c r="J92" i="3" s="1"/>
  <c r="N123" i="3" l="1"/>
  <c r="P123" i="3"/>
  <c r="O123" i="3"/>
  <c r="K123" i="3"/>
  <c r="N113" i="3"/>
  <c r="N114" i="3" s="1"/>
  <c r="O113" i="3"/>
  <c r="O114" i="3" s="1"/>
  <c r="P112" i="3"/>
  <c r="P113" i="3" s="1"/>
  <c r="P114" i="3" s="1"/>
  <c r="S4" i="18"/>
  <c r="S8" i="18" s="1"/>
  <c r="S9" i="18" s="1"/>
  <c r="L113" i="3"/>
  <c r="L114" i="3" s="1"/>
  <c r="Q4" i="18"/>
  <c r="Q8" i="18" s="1"/>
  <c r="Q9" i="18" s="1"/>
  <c r="K114" i="3" l="1"/>
  <c r="R4" i="18"/>
  <c r="R8" i="18" s="1"/>
  <c r="R9" i="18" s="1"/>
  <c r="M113" i="3"/>
  <c r="M114" i="3" s="1"/>
  <c r="D127" i="3"/>
  <c r="G120" i="3" s="1"/>
  <c r="V121" i="3" l="1"/>
  <c r="V123" i="3" s="1"/>
  <c r="G4" i="53" s="1"/>
  <c r="U121" i="3"/>
  <c r="U123" i="3" s="1"/>
  <c r="F4" i="53" s="1"/>
  <c r="W121" i="3"/>
  <c r="W123" i="3" s="1"/>
  <c r="H4" i="53" s="1"/>
  <c r="X121" i="3"/>
  <c r="X123" i="3" s="1"/>
  <c r="E4" i="21" s="1"/>
  <c r="Y121" i="3"/>
  <c r="Y123" i="3" s="1"/>
  <c r="Z121" i="3"/>
  <c r="Z123" i="3" s="1"/>
  <c r="T121" i="3"/>
  <c r="T123" i="3" s="1"/>
  <c r="E4" i="53" s="1"/>
  <c r="E12" i="53" s="1"/>
  <c r="N19" i="18" l="1"/>
  <c r="N20" i="18" s="1"/>
  <c r="M19" i="18"/>
  <c r="M20" i="18" s="1"/>
  <c r="H9" i="18" s="1"/>
  <c r="L19" i="18"/>
  <c r="L20" i="18" s="1"/>
  <c r="G9" i="18" s="1"/>
  <c r="K19" i="18"/>
  <c r="K20" i="18" s="1"/>
  <c r="F9" i="18" s="1"/>
  <c r="N13" i="18"/>
  <c r="N14" i="18" s="1"/>
  <c r="M13" i="18"/>
  <c r="M14" i="18" s="1"/>
  <c r="H8" i="18" s="1"/>
  <c r="L13" i="18"/>
  <c r="L14" i="18" s="1"/>
  <c r="G8" i="18" s="1"/>
  <c r="K13" i="18"/>
  <c r="D12" i="18"/>
  <c r="D13" i="18" s="1"/>
  <c r="N7" i="18"/>
  <c r="M7" i="18"/>
  <c r="H7" i="18" s="1"/>
  <c r="L7" i="18"/>
  <c r="G7" i="18" s="1"/>
  <c r="K7" i="18"/>
  <c r="F7" i="18" s="1"/>
  <c r="K14" i="18" l="1"/>
  <c r="F8" i="18" s="1"/>
  <c r="L46" i="3"/>
  <c r="L47" i="3" s="1"/>
  <c r="M46" i="3"/>
  <c r="M47" i="3" s="1"/>
  <c r="N46" i="3"/>
  <c r="N47" i="3" s="1"/>
  <c r="O46" i="3"/>
  <c r="O47" i="3" s="1"/>
  <c r="P46" i="3"/>
  <c r="P47" i="3" s="1"/>
  <c r="K47" i="3"/>
  <c r="L103" i="3" l="1"/>
  <c r="L104" i="3" s="1"/>
  <c r="M103" i="3"/>
  <c r="M104" i="3" s="1"/>
  <c r="N103" i="3"/>
  <c r="N104" i="3" s="1"/>
  <c r="O103" i="3"/>
  <c r="O104" i="3" s="1"/>
  <c r="P103" i="3"/>
  <c r="P104" i="3" s="1"/>
  <c r="M14" i="13"/>
  <c r="L14" i="13"/>
  <c r="K14" i="13"/>
  <c r="I14" i="13"/>
  <c r="M7" i="13"/>
  <c r="F7" i="13" s="1"/>
  <c r="L7" i="13"/>
  <c r="K7" i="13"/>
  <c r="E7" i="13" s="1"/>
  <c r="J7" i="13"/>
  <c r="I7" i="13"/>
  <c r="L7" i="12"/>
  <c r="O12" i="12"/>
  <c r="P12" i="12"/>
  <c r="M12" i="12"/>
  <c r="G9" i="12" s="1"/>
  <c r="L12" i="12"/>
  <c r="F9" i="12" s="1"/>
  <c r="D14" i="12"/>
  <c r="P7" i="12"/>
  <c r="O7" i="12"/>
  <c r="N7" i="12"/>
  <c r="M7" i="12"/>
  <c r="L27" i="10"/>
  <c r="L28" i="10" s="1"/>
  <c r="F11" i="10" s="1"/>
  <c r="L91" i="3"/>
  <c r="L92" i="3" s="1"/>
  <c r="M91" i="3"/>
  <c r="M92" i="3" s="1"/>
  <c r="N91" i="3"/>
  <c r="N92" i="3" s="1"/>
  <c r="O91" i="3"/>
  <c r="O92" i="3" s="1"/>
  <c r="P91" i="3"/>
  <c r="P92" i="3" s="1"/>
  <c r="K92" i="3"/>
  <c r="P15" i="11"/>
  <c r="O15" i="11"/>
  <c r="M15" i="11"/>
  <c r="G12" i="11" s="1"/>
  <c r="P8" i="11"/>
  <c r="O8" i="11"/>
  <c r="N8" i="11"/>
  <c r="M8" i="11"/>
  <c r="L8" i="11"/>
  <c r="M27" i="10"/>
  <c r="M28" i="10" s="1"/>
  <c r="G11" i="10" s="1"/>
  <c r="N27" i="10"/>
  <c r="N28" i="10" s="1"/>
  <c r="H11" i="10" s="1"/>
  <c r="O27" i="10"/>
  <c r="O28" i="10" s="1"/>
  <c r="P28" i="10"/>
  <c r="M14" i="10"/>
  <c r="N14" i="10"/>
  <c r="O14" i="10"/>
  <c r="O15" i="10" s="1"/>
  <c r="P14" i="10"/>
  <c r="P15" i="10" s="1"/>
  <c r="L14" i="10"/>
  <c r="P7" i="10"/>
  <c r="O7" i="10"/>
  <c r="N7" i="10"/>
  <c r="H14" i="10" s="1"/>
  <c r="H15" i="10" s="1"/>
  <c r="M7" i="10"/>
  <c r="L7" i="10"/>
  <c r="N82" i="3"/>
  <c r="N83" i="3" s="1"/>
  <c r="O82" i="3"/>
  <c r="O83" i="3" s="1"/>
  <c r="P82" i="3"/>
  <c r="P83" i="3" s="1"/>
  <c r="L82" i="3"/>
  <c r="L83" i="3" s="1"/>
  <c r="M82" i="3"/>
  <c r="M83" i="3" s="1"/>
  <c r="K83" i="3"/>
  <c r="D12" i="9"/>
  <c r="C9" i="62" s="1"/>
  <c r="N20" i="9"/>
  <c r="N21" i="9" s="1"/>
  <c r="O20" i="9"/>
  <c r="M20" i="9"/>
  <c r="M21" i="9" s="1"/>
  <c r="L20" i="9"/>
  <c r="L21" i="9" s="1"/>
  <c r="M14" i="9"/>
  <c r="M15" i="9" s="1"/>
  <c r="N14" i="9"/>
  <c r="N15" i="9" s="1"/>
  <c r="O14" i="9"/>
  <c r="O15" i="9" s="1"/>
  <c r="L14" i="9"/>
  <c r="L15" i="9" s="1"/>
  <c r="M8" i="9"/>
  <c r="G12" i="9" s="1"/>
  <c r="N8" i="9"/>
  <c r="H12" i="9" s="1"/>
  <c r="H13" i="9" s="1"/>
  <c r="G10" i="17" s="1"/>
  <c r="O8" i="9"/>
  <c r="L8" i="9"/>
  <c r="F12" i="9" s="1"/>
  <c r="F13" i="9" s="1"/>
  <c r="E10" i="17" s="1"/>
  <c r="D80" i="2"/>
  <c r="D25" i="2"/>
  <c r="C12" i="9" l="1"/>
  <c r="G13" i="9"/>
  <c r="F14" i="12"/>
  <c r="F15" i="12" s="1"/>
  <c r="B15" i="61"/>
  <c r="AA9" i="62"/>
  <c r="O9" i="62"/>
  <c r="U9" i="62"/>
  <c r="I9" i="62"/>
  <c r="C10" i="56"/>
  <c r="J10" i="56" s="1"/>
  <c r="Q10" i="56" s="1"/>
  <c r="F15" i="61"/>
  <c r="C15" i="61"/>
  <c r="D15" i="61"/>
  <c r="E15" i="61"/>
  <c r="N15" i="10"/>
  <c r="H10" i="10" s="1"/>
  <c r="M15" i="10"/>
  <c r="G10" i="10" s="1"/>
  <c r="L15" i="10"/>
  <c r="F10" i="10" s="1"/>
  <c r="D75" i="2"/>
  <c r="C10" i="42"/>
  <c r="C10" i="17"/>
  <c r="AM10" i="17" s="1"/>
  <c r="D74" i="2"/>
  <c r="D34" i="2"/>
  <c r="D45" i="2"/>
  <c r="D46" i="2" s="1"/>
  <c r="G41" i="2" s="1"/>
  <c r="D31" i="2"/>
  <c r="D4" i="2"/>
  <c r="D8" i="2" s="1"/>
  <c r="D19" i="3"/>
  <c r="D21" i="3"/>
  <c r="D23" i="3"/>
  <c r="C7" i="8"/>
  <c r="K8" i="8"/>
  <c r="H8" i="9"/>
  <c r="G8" i="9"/>
  <c r="F8" i="9"/>
  <c r="AB6" i="8"/>
  <c r="D12" i="13" s="1"/>
  <c r="D51" i="3"/>
  <c r="G44" i="3" s="1"/>
  <c r="D7" i="3"/>
  <c r="D32" i="3"/>
  <c r="G28" i="3" s="1"/>
  <c r="G57" i="2"/>
  <c r="D87" i="2"/>
  <c r="G81" i="2" s="1"/>
  <c r="G86" i="2" s="1"/>
  <c r="G87" i="2" s="1"/>
  <c r="G88" i="2" s="1"/>
  <c r="D26" i="2"/>
  <c r="G23" i="2" s="1"/>
  <c r="I23" i="2" s="1"/>
  <c r="L9" i="9"/>
  <c r="F6" i="9" s="1"/>
  <c r="C13" i="9" l="1"/>
  <c r="H10" i="17" s="1"/>
  <c r="F10" i="17"/>
  <c r="D13" i="21"/>
  <c r="E13" i="21" s="1"/>
  <c r="F13" i="21" s="1"/>
  <c r="G13" i="21" s="1"/>
  <c r="H13" i="21" s="1"/>
  <c r="I13" i="21" s="1"/>
  <c r="J13" i="21" s="1"/>
  <c r="K13" i="21" s="1"/>
  <c r="K6" i="28"/>
  <c r="M8" i="7"/>
  <c r="G6" i="7" s="1"/>
  <c r="L6" i="6"/>
  <c r="F24" i="6" s="1"/>
  <c r="G20" i="17" s="1"/>
  <c r="J6" i="6"/>
  <c r="H84" i="2"/>
  <c r="M82" i="2"/>
  <c r="F11" i="54"/>
  <c r="F8" i="55"/>
  <c r="H11" i="54"/>
  <c r="H8" i="55"/>
  <c r="P8" i="7"/>
  <c r="O8" i="7"/>
  <c r="K8" i="7"/>
  <c r="E6" i="7" s="1"/>
  <c r="L8" i="7"/>
  <c r="F6" i="7" s="1"/>
  <c r="N8" i="7"/>
  <c r="H6" i="7" s="1"/>
  <c r="G4" i="3"/>
  <c r="F5" i="37" s="1"/>
  <c r="D6" i="6"/>
  <c r="H6" i="6"/>
  <c r="J8" i="41"/>
  <c r="J29" i="41" s="1"/>
  <c r="AQ7" i="41"/>
  <c r="AQ29" i="41" s="1"/>
  <c r="AY7" i="41"/>
  <c r="D8" i="6"/>
  <c r="BB7" i="41"/>
  <c r="BB29" i="41" s="1"/>
  <c r="C35" i="56" s="1"/>
  <c r="AV7" i="41"/>
  <c r="D76" i="2"/>
  <c r="G71" i="2" s="1"/>
  <c r="O10" i="17"/>
  <c r="U10" i="17"/>
  <c r="I10" i="17"/>
  <c r="AA10" i="17"/>
  <c r="G8" i="41"/>
  <c r="F36" i="37"/>
  <c r="H36" i="37"/>
  <c r="D32" i="37"/>
  <c r="H37" i="37"/>
  <c r="F37" i="37"/>
  <c r="F11" i="53"/>
  <c r="F12" i="53" s="1"/>
  <c r="F11" i="52"/>
  <c r="H11" i="53"/>
  <c r="H12" i="53" s="1"/>
  <c r="H11" i="52"/>
  <c r="AK7" i="41"/>
  <c r="AN7" i="41"/>
  <c r="D8" i="41"/>
  <c r="G5" i="2"/>
  <c r="D19" i="21" s="1"/>
  <c r="L23" i="45"/>
  <c r="G7" i="45" s="1"/>
  <c r="K23" i="45"/>
  <c r="F7" i="45" s="1"/>
  <c r="M23" i="45"/>
  <c r="H9" i="45" s="1"/>
  <c r="H11" i="18"/>
  <c r="H9" i="47"/>
  <c r="H14" i="45"/>
  <c r="F11" i="18"/>
  <c r="F9" i="47"/>
  <c r="F10" i="47" s="1"/>
  <c r="F14" i="45"/>
  <c r="E12" i="13"/>
  <c r="E13" i="46"/>
  <c r="D13" i="46"/>
  <c r="F8" i="43"/>
  <c r="H8" i="43"/>
  <c r="D154" i="3"/>
  <c r="D155" i="3" s="1"/>
  <c r="K9" i="28"/>
  <c r="G9" i="28"/>
  <c r="C9" i="28"/>
  <c r="O9" i="28"/>
  <c r="F11" i="39"/>
  <c r="F13" i="10"/>
  <c r="F11" i="7"/>
  <c r="H11" i="39"/>
  <c r="H11" i="7"/>
  <c r="H13" i="10"/>
  <c r="D26" i="37"/>
  <c r="D35" i="2"/>
  <c r="G32" i="2" s="1"/>
  <c r="E7" i="39"/>
  <c r="F34" i="37"/>
  <c r="F35" i="37" s="1"/>
  <c r="D34" i="37"/>
  <c r="D35" i="37" s="1"/>
  <c r="H34" i="37"/>
  <c r="H35" i="37" s="1"/>
  <c r="J35" i="37" s="1"/>
  <c r="H26" i="37"/>
  <c r="F26" i="37"/>
  <c r="H30" i="37"/>
  <c r="H32" i="37" s="1"/>
  <c r="J32" i="37" s="1"/>
  <c r="F30" i="37"/>
  <c r="F32" i="37" s="1"/>
  <c r="K9" i="9"/>
  <c r="E6" i="9" s="1"/>
  <c r="K8" i="13"/>
  <c r="E6" i="13" s="1"/>
  <c r="J8" i="13"/>
  <c r="D24" i="3"/>
  <c r="G19" i="3" s="1"/>
  <c r="F6" i="37" s="1"/>
  <c r="T24" i="18"/>
  <c r="Q24" i="18"/>
  <c r="S24" i="18"/>
  <c r="U24" i="18"/>
  <c r="R24" i="18"/>
  <c r="U9" i="18"/>
  <c r="T9" i="18"/>
  <c r="G8" i="8"/>
  <c r="D67" i="3"/>
  <c r="D107" i="3"/>
  <c r="D97" i="3"/>
  <c r="AF9" i="8"/>
  <c r="G11" i="12"/>
  <c r="F11" i="12"/>
  <c r="H11" i="12"/>
  <c r="D116" i="3"/>
  <c r="F5" i="21"/>
  <c r="E5" i="21"/>
  <c r="E12" i="21" s="1"/>
  <c r="F11" i="9"/>
  <c r="F17" i="11"/>
  <c r="N8" i="18"/>
  <c r="L8" i="18"/>
  <c r="G6" i="18" s="1"/>
  <c r="K8" i="18"/>
  <c r="F6" i="18" s="1"/>
  <c r="M8" i="18"/>
  <c r="H6" i="18" s="1"/>
  <c r="F13" i="12"/>
  <c r="H13" i="12"/>
  <c r="X45" i="3"/>
  <c r="X47" i="3" s="1"/>
  <c r="Y45" i="3"/>
  <c r="Y47" i="3" s="1"/>
  <c r="U45" i="3"/>
  <c r="U47" i="3" s="1"/>
  <c r="Z45" i="3"/>
  <c r="Z47" i="3" s="1"/>
  <c r="W45" i="3"/>
  <c r="W47" i="3" s="1"/>
  <c r="V45" i="3"/>
  <c r="V47" i="3" s="1"/>
  <c r="L8" i="12"/>
  <c r="F6" i="12" s="1"/>
  <c r="I8" i="13"/>
  <c r="L8" i="13"/>
  <c r="M8" i="13"/>
  <c r="F6" i="13" s="1"/>
  <c r="M8" i="12"/>
  <c r="G6" i="12" s="1"/>
  <c r="N8" i="12"/>
  <c r="H6" i="12" s="1"/>
  <c r="O8" i="12"/>
  <c r="P8" i="12"/>
  <c r="H17" i="11"/>
  <c r="H11" i="9"/>
  <c r="D76" i="3"/>
  <c r="D85" i="3"/>
  <c r="L8" i="10"/>
  <c r="F6" i="10" s="1"/>
  <c r="M8" i="10"/>
  <c r="G6" i="10" s="1"/>
  <c r="N8" i="10"/>
  <c r="H6" i="10" s="1"/>
  <c r="O8" i="10"/>
  <c r="P8" i="10"/>
  <c r="L9" i="11"/>
  <c r="F9" i="11" s="1"/>
  <c r="M9" i="11"/>
  <c r="G9" i="11" s="1"/>
  <c r="N9" i="11"/>
  <c r="H9" i="11" s="1"/>
  <c r="O9" i="11"/>
  <c r="P9" i="11"/>
  <c r="F9" i="9"/>
  <c r="G9" i="9"/>
  <c r="H9" i="9"/>
  <c r="O9" i="9"/>
  <c r="N9" i="9"/>
  <c r="H6" i="9" s="1"/>
  <c r="M9" i="9"/>
  <c r="G6" i="9" s="1"/>
  <c r="F6" i="6"/>
  <c r="D24" i="6" s="1"/>
  <c r="X81" i="3" l="1"/>
  <c r="T81" i="3"/>
  <c r="G7" i="28"/>
  <c r="S13" i="11"/>
  <c r="V11" i="11" s="1"/>
  <c r="R28" i="9"/>
  <c r="L5" i="21"/>
  <c r="L19" i="21"/>
  <c r="L13" i="21"/>
  <c r="U90" i="3"/>
  <c r="T90" i="3"/>
  <c r="T92" i="3" s="1"/>
  <c r="W90" i="3"/>
  <c r="V90" i="3"/>
  <c r="Y102" i="3"/>
  <c r="Y104" i="3" s="1"/>
  <c r="V102" i="3"/>
  <c r="V104" i="3" s="1"/>
  <c r="U56" i="3"/>
  <c r="U58" i="3" s="1"/>
  <c r="F4" i="7" s="1"/>
  <c r="F12" i="7" s="1"/>
  <c r="F13" i="7" s="1"/>
  <c r="X56" i="3"/>
  <c r="X58" i="3" s="1"/>
  <c r="V56" i="3"/>
  <c r="W56" i="3"/>
  <c r="W58" i="3" s="1"/>
  <c r="H4" i="7" s="1"/>
  <c r="H12" i="7" s="1"/>
  <c r="H13" i="7" s="1"/>
  <c r="U112" i="3"/>
  <c r="U114" i="3" s="1"/>
  <c r="T112" i="3"/>
  <c r="T114" i="3" s="1"/>
  <c r="X112" i="3"/>
  <c r="W112" i="3"/>
  <c r="W114" i="3" s="1"/>
  <c r="H4" i="9" s="1"/>
  <c r="V112" i="3"/>
  <c r="AQ20" i="17"/>
  <c r="H27" i="37"/>
  <c r="H29" i="37" s="1"/>
  <c r="J29" i="37" s="1"/>
  <c r="C11" i="28"/>
  <c r="AA112" i="3"/>
  <c r="AA114" i="3" s="1"/>
  <c r="AA56" i="3"/>
  <c r="AA58" i="3" s="1"/>
  <c r="K5" i="28" s="1"/>
  <c r="K32" i="28" s="1"/>
  <c r="C42" i="17" s="1"/>
  <c r="Z304" i="3"/>
  <c r="Z306" i="3" s="1"/>
  <c r="AA81" i="3"/>
  <c r="AA83" i="3" s="1"/>
  <c r="D22" i="60"/>
  <c r="D27" i="50"/>
  <c r="D28" i="50" s="1"/>
  <c r="D30" i="50" s="1"/>
  <c r="D5" i="61"/>
  <c r="C5" i="61"/>
  <c r="B5" i="61"/>
  <c r="D6" i="13"/>
  <c r="B20" i="13"/>
  <c r="K24" i="6"/>
  <c r="K27" i="6" s="1"/>
  <c r="E24" i="6"/>
  <c r="M24" i="6"/>
  <c r="M27" i="6" s="1"/>
  <c r="D22" i="50"/>
  <c r="D25" i="50" s="1"/>
  <c r="C24" i="6"/>
  <c r="BR7" i="41"/>
  <c r="BX7" i="41"/>
  <c r="BX29" i="41" s="1"/>
  <c r="C37" i="56" s="1"/>
  <c r="J37" i="56" s="1"/>
  <c r="Q37" i="56" s="1"/>
  <c r="BM7" i="41"/>
  <c r="BM29" i="41" s="1"/>
  <c r="BJ7" i="41"/>
  <c r="BG7" i="41"/>
  <c r="D5" i="37"/>
  <c r="D322" i="3"/>
  <c r="D323" i="3" s="1"/>
  <c r="G319" i="3" s="1"/>
  <c r="F5" i="43"/>
  <c r="F11" i="43" s="1"/>
  <c r="F28" i="43" s="1"/>
  <c r="F29" i="43" s="1"/>
  <c r="H5" i="37"/>
  <c r="H88" i="2"/>
  <c r="N88" i="2" s="1"/>
  <c r="D5" i="43"/>
  <c r="H5" i="43"/>
  <c r="H11" i="43" s="1"/>
  <c r="BB31" i="41"/>
  <c r="BB33" i="41" s="1"/>
  <c r="C35" i="42"/>
  <c r="C35" i="17" s="1"/>
  <c r="J35" i="56"/>
  <c r="Q35" i="56" s="1"/>
  <c r="D20" i="17"/>
  <c r="D20" i="56"/>
  <c r="C28" i="56"/>
  <c r="C28" i="42"/>
  <c r="G11" i="54"/>
  <c r="G8" i="55"/>
  <c r="AQ31" i="41"/>
  <c r="AQ33" i="41" s="1"/>
  <c r="C31" i="56"/>
  <c r="J31" i="56" s="1"/>
  <c r="Q31" i="56" s="1"/>
  <c r="C31" i="42"/>
  <c r="C31" i="17" s="1"/>
  <c r="Z274" i="3"/>
  <c r="Z276" i="3" s="1"/>
  <c r="Z288" i="3"/>
  <c r="Z290" i="3" s="1"/>
  <c r="Z261" i="3"/>
  <c r="Z263" i="3" s="1"/>
  <c r="Z251" i="3"/>
  <c r="Z253" i="3" s="1"/>
  <c r="Z232" i="3"/>
  <c r="Z234" i="3" s="1"/>
  <c r="Y112" i="3"/>
  <c r="Y114" i="3" s="1"/>
  <c r="Z112" i="3"/>
  <c r="Z114" i="3" s="1"/>
  <c r="X221" i="3"/>
  <c r="X223" i="3" s="1"/>
  <c r="Z221" i="3"/>
  <c r="Z223" i="3" s="1"/>
  <c r="D6" i="37"/>
  <c r="T221" i="3"/>
  <c r="V221" i="3"/>
  <c r="W221" i="3"/>
  <c r="U221" i="3"/>
  <c r="J31" i="41"/>
  <c r="J33" i="41" s="1"/>
  <c r="O21" i="9"/>
  <c r="F27" i="37"/>
  <c r="F29" i="37" s="1"/>
  <c r="D27" i="37"/>
  <c r="D29" i="37" s="1"/>
  <c r="C11" i="54"/>
  <c r="T83" i="3"/>
  <c r="Z203" i="3"/>
  <c r="Y203" i="3"/>
  <c r="X203" i="3"/>
  <c r="W203" i="3"/>
  <c r="V203" i="3"/>
  <c r="U203" i="3"/>
  <c r="T203" i="3"/>
  <c r="D20" i="42"/>
  <c r="C27" i="6"/>
  <c r="W193" i="3"/>
  <c r="X193" i="3"/>
  <c r="Y193" i="3"/>
  <c r="Z193" i="3"/>
  <c r="T193" i="3"/>
  <c r="U193" i="3"/>
  <c r="V193" i="3"/>
  <c r="C11" i="53"/>
  <c r="C12" i="53" s="1"/>
  <c r="C11" i="52"/>
  <c r="F13" i="46"/>
  <c r="G11" i="53"/>
  <c r="G12" i="53" s="1"/>
  <c r="G11" i="52"/>
  <c r="H38" i="37"/>
  <c r="J38" i="37" s="1"/>
  <c r="F38" i="37"/>
  <c r="E14" i="21"/>
  <c r="D5" i="21"/>
  <c r="D52" i="2"/>
  <c r="G51" i="2" s="1"/>
  <c r="D65" i="2"/>
  <c r="D66" i="2" s="1"/>
  <c r="G64" i="2" s="1"/>
  <c r="D236" i="34" s="1"/>
  <c r="K22" i="10"/>
  <c r="E8" i="10" s="1"/>
  <c r="L22" i="10"/>
  <c r="F8" i="10" s="1"/>
  <c r="M22" i="10"/>
  <c r="G8" i="10" s="1"/>
  <c r="N22" i="10"/>
  <c r="H8" i="10" s="1"/>
  <c r="O22" i="10"/>
  <c r="P22" i="10"/>
  <c r="I16" i="46"/>
  <c r="F8" i="46"/>
  <c r="E8" i="46"/>
  <c r="D8" i="46"/>
  <c r="I20" i="46"/>
  <c r="G11" i="18"/>
  <c r="G9" i="47"/>
  <c r="G14" i="45"/>
  <c r="G15" i="45" s="1"/>
  <c r="Y142" i="3"/>
  <c r="Y144" i="3" s="1"/>
  <c r="T142" i="3"/>
  <c r="T144" i="3" s="1"/>
  <c r="V142" i="3"/>
  <c r="V144" i="3" s="1"/>
  <c r="W142" i="3"/>
  <c r="W144" i="3" s="1"/>
  <c r="X142" i="3"/>
  <c r="X144" i="3" s="1"/>
  <c r="Z142" i="3"/>
  <c r="Z144" i="3" s="1"/>
  <c r="U142" i="3"/>
  <c r="U144" i="3" s="1"/>
  <c r="C9" i="47"/>
  <c r="C13" i="46"/>
  <c r="C14" i="45"/>
  <c r="H15" i="45"/>
  <c r="H17" i="45" s="1"/>
  <c r="H18" i="45" s="1"/>
  <c r="H19" i="45" s="1"/>
  <c r="F12" i="13"/>
  <c r="F15" i="45"/>
  <c r="G141" i="3"/>
  <c r="S5" i="28"/>
  <c r="S32" i="28" s="1"/>
  <c r="C46" i="17" s="1"/>
  <c r="C11" i="39"/>
  <c r="C13" i="10"/>
  <c r="C11" i="18"/>
  <c r="G11" i="39"/>
  <c r="G13" i="10"/>
  <c r="G11" i="7"/>
  <c r="C26" i="6"/>
  <c r="G22" i="56" s="1"/>
  <c r="N22" i="56" s="1"/>
  <c r="U22" i="56" s="1"/>
  <c r="D26" i="6"/>
  <c r="D22" i="56" s="1"/>
  <c r="K22" i="56" s="1"/>
  <c r="R22" i="56" s="1"/>
  <c r="Y72" i="3"/>
  <c r="Y74" i="3" s="1"/>
  <c r="V72" i="3"/>
  <c r="V74" i="3" s="1"/>
  <c r="X72" i="3"/>
  <c r="X74" i="3" s="1"/>
  <c r="Z72" i="3"/>
  <c r="Z74" i="3" s="1"/>
  <c r="T72" i="3"/>
  <c r="T74" i="3" s="1"/>
  <c r="U72" i="3"/>
  <c r="W72" i="3"/>
  <c r="W74" i="3" s="1"/>
  <c r="W102" i="3"/>
  <c r="W104" i="3" s="1"/>
  <c r="X102" i="3"/>
  <c r="X104" i="3" s="1"/>
  <c r="Z102" i="3"/>
  <c r="Z104" i="3" s="1"/>
  <c r="T102" i="3"/>
  <c r="T104" i="3" s="1"/>
  <c r="Y56" i="3"/>
  <c r="Y58" i="3" s="1"/>
  <c r="Z56" i="3"/>
  <c r="Z58" i="3" s="1"/>
  <c r="T56" i="3"/>
  <c r="T58" i="3" s="1"/>
  <c r="E4" i="7" s="1"/>
  <c r="E12" i="7" s="1"/>
  <c r="G89" i="3"/>
  <c r="K25" i="9"/>
  <c r="K20" i="11"/>
  <c r="E14" i="11" s="1"/>
  <c r="O25" i="9"/>
  <c r="I19" i="13"/>
  <c r="M19" i="13"/>
  <c r="F8" i="13" s="1"/>
  <c r="N25" i="9"/>
  <c r="M25" i="9"/>
  <c r="M20" i="11"/>
  <c r="G14" i="11" s="1"/>
  <c r="N20" i="11"/>
  <c r="H14" i="11" s="1"/>
  <c r="O20" i="11"/>
  <c r="L20" i="11"/>
  <c r="F14" i="11" s="1"/>
  <c r="P20" i="11"/>
  <c r="L19" i="13"/>
  <c r="K19" i="13"/>
  <c r="E8" i="13" s="1"/>
  <c r="J19" i="13"/>
  <c r="D8" i="13" s="1"/>
  <c r="C8" i="28"/>
  <c r="L25" i="9"/>
  <c r="Z134" i="3"/>
  <c r="V134" i="3"/>
  <c r="Y134" i="3"/>
  <c r="X134" i="3"/>
  <c r="U134" i="3"/>
  <c r="W134" i="3"/>
  <c r="G17" i="11"/>
  <c r="G11" i="9"/>
  <c r="G13" i="12"/>
  <c r="G55" i="3"/>
  <c r="C17" i="11"/>
  <c r="C12" i="13"/>
  <c r="C13" i="12"/>
  <c r="G111" i="3"/>
  <c r="G101" i="3"/>
  <c r="U102" i="3"/>
  <c r="U104" i="3" s="1"/>
  <c r="X90" i="3"/>
  <c r="X92" i="3" s="1"/>
  <c r="Y90" i="3"/>
  <c r="Y92" i="3" s="1"/>
  <c r="Z90" i="3"/>
  <c r="Z92" i="3" s="1"/>
  <c r="V81" i="3"/>
  <c r="W81" i="3"/>
  <c r="H5" i="11" s="1"/>
  <c r="X83" i="3"/>
  <c r="Y81" i="3"/>
  <c r="Z81" i="3"/>
  <c r="Z83" i="3" s="1"/>
  <c r="U81" i="3"/>
  <c r="F5" i="11" s="1"/>
  <c r="G80" i="3"/>
  <c r="G71" i="3"/>
  <c r="E4" i="12" l="1"/>
  <c r="V4" i="12"/>
  <c r="V11" i="12" s="1"/>
  <c r="V5" i="11"/>
  <c r="V6" i="11"/>
  <c r="U14" i="9"/>
  <c r="U22" i="9" s="1"/>
  <c r="E4" i="9"/>
  <c r="E13" i="11"/>
  <c r="V10" i="11"/>
  <c r="G8" i="28"/>
  <c r="G32" i="28" s="1"/>
  <c r="C44" i="17" s="1"/>
  <c r="U44" i="17" s="1"/>
  <c r="D237" i="34"/>
  <c r="L18" i="21"/>
  <c r="L26" i="21" s="1"/>
  <c r="D18" i="21"/>
  <c r="D26" i="21" s="1"/>
  <c r="D4" i="21"/>
  <c r="D12" i="21" s="1"/>
  <c r="L4" i="21"/>
  <c r="L12" i="21" s="1"/>
  <c r="L14" i="21" s="1"/>
  <c r="X114" i="3"/>
  <c r="J14" i="21"/>
  <c r="R6" i="9"/>
  <c r="S6" i="9"/>
  <c r="O42" i="17"/>
  <c r="U42" i="17"/>
  <c r="AA42" i="17"/>
  <c r="I42" i="17"/>
  <c r="AM42" i="17"/>
  <c r="AM46" i="17"/>
  <c r="O46" i="17"/>
  <c r="U46" i="17"/>
  <c r="AA46" i="17"/>
  <c r="I46" i="17"/>
  <c r="C26" i="56"/>
  <c r="J26" i="56" s="1"/>
  <c r="Q26" i="56" s="1"/>
  <c r="G12" i="56"/>
  <c r="N12" i="56" s="1"/>
  <c r="U12" i="56" s="1"/>
  <c r="AM31" i="17"/>
  <c r="E14" i="7"/>
  <c r="E13" i="7"/>
  <c r="AM35" i="17"/>
  <c r="AB20" i="17"/>
  <c r="AN20" i="17"/>
  <c r="O5" i="28"/>
  <c r="O32" i="28" s="1"/>
  <c r="C43" i="17" s="1"/>
  <c r="C5" i="28"/>
  <c r="J24" i="6"/>
  <c r="J27" i="6" s="1"/>
  <c r="E20" i="17"/>
  <c r="L24" i="6"/>
  <c r="L27" i="6" s="1"/>
  <c r="F20" i="17"/>
  <c r="H14" i="7"/>
  <c r="I5" i="21"/>
  <c r="D4" i="61"/>
  <c r="D14" i="61" s="1"/>
  <c r="M25" i="6"/>
  <c r="K25" i="6"/>
  <c r="C33" i="17"/>
  <c r="C36" i="56"/>
  <c r="J36" i="56" s="1"/>
  <c r="Q36" i="56" s="1"/>
  <c r="G20" i="56"/>
  <c r="N20" i="56" s="1"/>
  <c r="U20" i="56" s="1"/>
  <c r="BX31" i="41"/>
  <c r="BX33" i="41" s="1"/>
  <c r="J88" i="2"/>
  <c r="I88" i="2"/>
  <c r="D10" i="37"/>
  <c r="C56" i="37" s="1"/>
  <c r="BM31" i="41"/>
  <c r="BM33" i="41" s="1"/>
  <c r="J20" i="17"/>
  <c r="V20" i="17"/>
  <c r="P20" i="17"/>
  <c r="J28" i="56"/>
  <c r="Q28" i="56" s="1"/>
  <c r="K20" i="56"/>
  <c r="R20" i="56" s="1"/>
  <c r="O35" i="17"/>
  <c r="AA35" i="17"/>
  <c r="I35" i="17"/>
  <c r="U35" i="17"/>
  <c r="W223" i="3"/>
  <c r="H4" i="55"/>
  <c r="H9" i="55" s="1"/>
  <c r="V223" i="3"/>
  <c r="G4" i="55"/>
  <c r="G9" i="55" s="1"/>
  <c r="T223" i="3"/>
  <c r="E4" i="55"/>
  <c r="E9" i="55" s="1"/>
  <c r="U223" i="3"/>
  <c r="F4" i="55"/>
  <c r="F9" i="55" s="1"/>
  <c r="O31" i="17"/>
  <c r="AA31" i="17"/>
  <c r="I31" i="17"/>
  <c r="U31" i="17"/>
  <c r="H19" i="7"/>
  <c r="C28" i="17"/>
  <c r="D8" i="43"/>
  <c r="D11" i="43" s="1"/>
  <c r="H6" i="37"/>
  <c r="AF15" i="41"/>
  <c r="AF29" i="41" s="1"/>
  <c r="R15" i="41"/>
  <c r="U15" i="41"/>
  <c r="U29" i="41" s="1"/>
  <c r="O13" i="12"/>
  <c r="P13" i="12"/>
  <c r="K13" i="12"/>
  <c r="E8" i="12" s="1"/>
  <c r="L13" i="12"/>
  <c r="F8" i="12" s="1"/>
  <c r="M13" i="12"/>
  <c r="N13" i="12"/>
  <c r="L16" i="11"/>
  <c r="M16" i="11"/>
  <c r="G11" i="11" s="1"/>
  <c r="O16" i="11"/>
  <c r="K16" i="11"/>
  <c r="E11" i="11" s="1"/>
  <c r="P16" i="11"/>
  <c r="N16" i="11"/>
  <c r="H11" i="11" s="1"/>
  <c r="E4" i="10"/>
  <c r="E14" i="10" s="1"/>
  <c r="E15" i="10" s="1"/>
  <c r="E5" i="39"/>
  <c r="E12" i="39" s="1"/>
  <c r="E13" i="39" s="1"/>
  <c r="E5" i="11"/>
  <c r="E4" i="52"/>
  <c r="E12" i="52" s="1"/>
  <c r="E13" i="52" s="1"/>
  <c r="F4" i="18"/>
  <c r="F12" i="18" s="1"/>
  <c r="F13" i="18" s="1"/>
  <c r="F4" i="9"/>
  <c r="G12" i="42"/>
  <c r="G12" i="17"/>
  <c r="AQ12" i="17" s="1"/>
  <c r="D22" i="42"/>
  <c r="D22" i="17"/>
  <c r="AN22" i="17" s="1"/>
  <c r="G22" i="42"/>
  <c r="G22" i="17"/>
  <c r="AQ22" i="17" s="1"/>
  <c r="M20" i="17"/>
  <c r="C26" i="42"/>
  <c r="C26" i="17"/>
  <c r="E7" i="11"/>
  <c r="G20" i="42"/>
  <c r="AC15" i="41"/>
  <c r="I15" i="13"/>
  <c r="K15" i="13"/>
  <c r="E11" i="13" s="1"/>
  <c r="L15" i="13"/>
  <c r="H4" i="52"/>
  <c r="H12" i="52" s="1"/>
  <c r="H13" i="52" s="1"/>
  <c r="H4" i="54"/>
  <c r="H12" i="54" s="1"/>
  <c r="H13" i="54" s="1"/>
  <c r="F4" i="52"/>
  <c r="F12" i="52" s="1"/>
  <c r="F4" i="54"/>
  <c r="O15" i="41"/>
  <c r="M15" i="13"/>
  <c r="F11" i="13" s="1"/>
  <c r="H28" i="43"/>
  <c r="H29" i="43" s="1"/>
  <c r="J11" i="43"/>
  <c r="J28" i="43" s="1"/>
  <c r="J29" i="43" s="1"/>
  <c r="Z15" i="41"/>
  <c r="C15" i="45"/>
  <c r="C10" i="47"/>
  <c r="H4" i="18"/>
  <c r="H12" i="18" s="1"/>
  <c r="H10" i="47"/>
  <c r="F4" i="13"/>
  <c r="F4" i="46"/>
  <c r="D4" i="13"/>
  <c r="D4" i="46"/>
  <c r="E4" i="13"/>
  <c r="E4" i="46"/>
  <c r="G5" i="11"/>
  <c r="G4" i="21"/>
  <c r="G12" i="21" s="1"/>
  <c r="F4" i="21"/>
  <c r="F12" i="21" s="1"/>
  <c r="V58" i="3"/>
  <c r="G4" i="7" s="1"/>
  <c r="G12" i="7" s="1"/>
  <c r="G13" i="7" s="1"/>
  <c r="I4" i="21"/>
  <c r="V114" i="3"/>
  <c r="G4" i="9" s="1"/>
  <c r="F7" i="11"/>
  <c r="U74" i="3"/>
  <c r="H7" i="11"/>
  <c r="G7" i="11"/>
  <c r="U83" i="3"/>
  <c r="D5" i="11"/>
  <c r="D18" i="11" s="1"/>
  <c r="D20" i="11" s="1"/>
  <c r="Y83" i="3"/>
  <c r="W83" i="3"/>
  <c r="V83" i="3"/>
  <c r="F13" i="11"/>
  <c r="U92" i="3"/>
  <c r="H13" i="11"/>
  <c r="W92" i="3"/>
  <c r="G13" i="11"/>
  <c r="V92" i="3"/>
  <c r="C12" i="52" l="1"/>
  <c r="F13" i="52"/>
  <c r="E16" i="56"/>
  <c r="L16" i="56" s="1"/>
  <c r="S16" i="56" s="1"/>
  <c r="G16" i="56"/>
  <c r="N16" i="56" s="1"/>
  <c r="U16" i="56" s="1"/>
  <c r="H13" i="18"/>
  <c r="E14" i="12"/>
  <c r="E15" i="12" s="1"/>
  <c r="I44" i="17"/>
  <c r="AA44" i="17"/>
  <c r="O44" i="17"/>
  <c r="AM44" i="17"/>
  <c r="E18" i="11"/>
  <c r="E19" i="11" s="1"/>
  <c r="D238" i="34"/>
  <c r="D239" i="34"/>
  <c r="U25" i="9"/>
  <c r="U23" i="9"/>
  <c r="V15" i="11"/>
  <c r="V13" i="12"/>
  <c r="V12" i="12"/>
  <c r="K18" i="21"/>
  <c r="K26" i="21" s="1"/>
  <c r="K29" i="21" s="1"/>
  <c r="K31" i="21" s="1"/>
  <c r="C18" i="21"/>
  <c r="C26" i="21" s="1"/>
  <c r="C28" i="21" s="1"/>
  <c r="C30" i="21" s="1"/>
  <c r="F18" i="11"/>
  <c r="F19" i="11" s="1"/>
  <c r="D13" i="13"/>
  <c r="D14" i="13" s="1"/>
  <c r="C14" i="13" s="1"/>
  <c r="F4" i="61"/>
  <c r="I12" i="21"/>
  <c r="I14" i="21" s="1"/>
  <c r="E4" i="61"/>
  <c r="B4" i="61"/>
  <c r="B14" i="61" s="1"/>
  <c r="B16" i="61" s="1"/>
  <c r="B18" i="61" s="1"/>
  <c r="C4" i="61"/>
  <c r="F14" i="21"/>
  <c r="K4" i="21"/>
  <c r="C4" i="21"/>
  <c r="C12" i="21" s="1"/>
  <c r="C32" i="28"/>
  <c r="C45" i="17" s="1"/>
  <c r="U43" i="17"/>
  <c r="AA43" i="17"/>
  <c r="I43" i="17"/>
  <c r="O43" i="17"/>
  <c r="AM43" i="17"/>
  <c r="C13" i="7"/>
  <c r="AO20" i="17"/>
  <c r="AM28" i="17"/>
  <c r="AP20" i="17"/>
  <c r="AM26" i="17"/>
  <c r="U33" i="17"/>
  <c r="AM33" i="17"/>
  <c r="O36" i="28"/>
  <c r="O37" i="28"/>
  <c r="O38" i="28"/>
  <c r="K36" i="28"/>
  <c r="K37" i="28"/>
  <c r="K38" i="28"/>
  <c r="J25" i="6"/>
  <c r="F10" i="37"/>
  <c r="F43" i="37" s="1"/>
  <c r="F44" i="37" s="1"/>
  <c r="D58" i="37" s="1"/>
  <c r="H10" i="37"/>
  <c r="L25" i="6"/>
  <c r="R20" i="17"/>
  <c r="L20" i="17"/>
  <c r="AD20" i="17"/>
  <c r="X20" i="17"/>
  <c r="F52" i="17"/>
  <c r="Q20" i="17"/>
  <c r="E52" i="17"/>
  <c r="K20" i="17"/>
  <c r="AC20" i="17"/>
  <c r="W20" i="17"/>
  <c r="F14" i="7"/>
  <c r="E12" i="56"/>
  <c r="L12" i="56" s="1"/>
  <c r="S12" i="56" s="1"/>
  <c r="G14" i="7"/>
  <c r="F12" i="56"/>
  <c r="M12" i="56" s="1"/>
  <c r="T12" i="56" s="1"/>
  <c r="C14" i="61"/>
  <c r="C16" i="61" s="1"/>
  <c r="C18" i="61" s="1"/>
  <c r="F14" i="61"/>
  <c r="F16" i="61" s="1"/>
  <c r="F18" i="61" s="1"/>
  <c r="E14" i="61"/>
  <c r="E16" i="61" s="1"/>
  <c r="E18" i="61" s="1"/>
  <c r="D16" i="61"/>
  <c r="D18" i="61" s="1"/>
  <c r="D14" i="46"/>
  <c r="I33" i="17"/>
  <c r="O33" i="17"/>
  <c r="AA33" i="17"/>
  <c r="D10" i="56"/>
  <c r="K10" i="56" s="1"/>
  <c r="R10" i="56" s="1"/>
  <c r="D15" i="56"/>
  <c r="K15" i="56" s="1"/>
  <c r="R15" i="56" s="1"/>
  <c r="C55" i="37"/>
  <c r="C6" i="56" s="1"/>
  <c r="J6" i="56" s="1"/>
  <c r="Q6" i="56" s="1"/>
  <c r="C54" i="37"/>
  <c r="C5" i="56" s="1"/>
  <c r="J5" i="56" s="1"/>
  <c r="Q5" i="56" s="1"/>
  <c r="C53" i="37"/>
  <c r="C4" i="56" s="1"/>
  <c r="J4" i="56" s="1"/>
  <c r="Q4" i="56" s="1"/>
  <c r="C57" i="37"/>
  <c r="C7" i="56" s="1"/>
  <c r="J7" i="56" s="1"/>
  <c r="Q7" i="56" s="1"/>
  <c r="F19" i="7"/>
  <c r="E12" i="42"/>
  <c r="E12" i="17"/>
  <c r="D13" i="42"/>
  <c r="D13" i="56"/>
  <c r="K13" i="56" s="1"/>
  <c r="R13" i="56" s="1"/>
  <c r="U31" i="41"/>
  <c r="U33" i="41" s="1"/>
  <c r="C29" i="42"/>
  <c r="C29" i="56"/>
  <c r="AF31" i="41"/>
  <c r="AF33" i="41" s="1"/>
  <c r="C30" i="56"/>
  <c r="J30" i="56" s="1"/>
  <c r="Q30" i="56" s="1"/>
  <c r="C30" i="42"/>
  <c r="C30" i="17" s="1"/>
  <c r="G19" i="7"/>
  <c r="C9" i="55"/>
  <c r="F19" i="42"/>
  <c r="F19" i="17" s="1"/>
  <c r="AP19" i="17" s="1"/>
  <c r="F19" i="56"/>
  <c r="M19" i="56" s="1"/>
  <c r="T19" i="56" s="1"/>
  <c r="I28" i="17"/>
  <c r="O28" i="17"/>
  <c r="U28" i="17"/>
  <c r="AA28" i="17"/>
  <c r="G18" i="11"/>
  <c r="G19" i="11" s="1"/>
  <c r="C19" i="11" s="1"/>
  <c r="E14" i="39"/>
  <c r="D13" i="17"/>
  <c r="E15" i="39"/>
  <c r="D15" i="42"/>
  <c r="D15" i="17"/>
  <c r="AN15" i="17" s="1"/>
  <c r="C12" i="7"/>
  <c r="F12" i="17"/>
  <c r="AE12" i="17"/>
  <c r="M12" i="17"/>
  <c r="Y12" i="17"/>
  <c r="S12" i="17"/>
  <c r="E16" i="42"/>
  <c r="E16" i="17"/>
  <c r="AO16" i="17" s="1"/>
  <c r="G16" i="42"/>
  <c r="G16" i="17"/>
  <c r="AQ16" i="17" s="1"/>
  <c r="D10" i="42"/>
  <c r="J10" i="17"/>
  <c r="J22" i="17"/>
  <c r="P22" i="17"/>
  <c r="AB22" i="17"/>
  <c r="V22" i="17"/>
  <c r="Y20" i="17"/>
  <c r="AE20" i="17"/>
  <c r="S20" i="17"/>
  <c r="Y22" i="17"/>
  <c r="M22" i="17"/>
  <c r="AE22" i="17"/>
  <c r="S22" i="17"/>
  <c r="I26" i="17"/>
  <c r="U26" i="17"/>
  <c r="AA26" i="17"/>
  <c r="O26" i="17"/>
  <c r="F23" i="54"/>
  <c r="F30" i="54" s="1"/>
  <c r="E13" i="13"/>
  <c r="E14" i="13" s="1"/>
  <c r="F14" i="46"/>
  <c r="G4" i="52"/>
  <c r="G12" i="52" s="1"/>
  <c r="G13" i="52" s="1"/>
  <c r="C13" i="52" s="1"/>
  <c r="G4" i="54"/>
  <c r="F12" i="54"/>
  <c r="F13" i="54" s="1"/>
  <c r="F13" i="13"/>
  <c r="F14" i="13" s="1"/>
  <c r="E14" i="46"/>
  <c r="G14" i="21"/>
  <c r="J19" i="34"/>
  <c r="G4" i="18"/>
  <c r="G12" i="18" s="1"/>
  <c r="G13" i="18" s="1"/>
  <c r="C13" i="18" s="1"/>
  <c r="G10" i="47"/>
  <c r="F12" i="42"/>
  <c r="G4" i="10"/>
  <c r="G14" i="10" s="1"/>
  <c r="G15" i="10" s="1"/>
  <c r="C15" i="10" s="1"/>
  <c r="G5" i="39"/>
  <c r="G12" i="39" s="1"/>
  <c r="G13" i="39" s="1"/>
  <c r="C13" i="39" s="1"/>
  <c r="G4" i="12"/>
  <c r="H5" i="39"/>
  <c r="H12" i="39" s="1"/>
  <c r="H13" i="39" s="1"/>
  <c r="H4" i="12"/>
  <c r="H4" i="10"/>
  <c r="F4" i="12"/>
  <c r="F5" i="39"/>
  <c r="F12" i="39" s="1"/>
  <c r="F13" i="39" s="1"/>
  <c r="F4" i="10"/>
  <c r="F14" i="10" s="1"/>
  <c r="F15" i="10" s="1"/>
  <c r="E12" i="18"/>
  <c r="E13" i="18" s="1"/>
  <c r="H18" i="11"/>
  <c r="H19" i="11" s="1"/>
  <c r="D14" i="42" l="1"/>
  <c r="D14" i="56"/>
  <c r="K14" i="56" s="1"/>
  <c r="R14" i="56" s="1"/>
  <c r="D19" i="46"/>
  <c r="D15" i="46"/>
  <c r="C15" i="46" s="1"/>
  <c r="C18" i="56"/>
  <c r="J18" i="56" s="1"/>
  <c r="Q18" i="56" s="1"/>
  <c r="F15" i="46"/>
  <c r="F17" i="56"/>
  <c r="M17" i="56" s="1"/>
  <c r="T17" i="56" s="1"/>
  <c r="C13" i="13"/>
  <c r="H17" i="56" s="1"/>
  <c r="O17" i="56" s="1"/>
  <c r="V17" i="56" s="1"/>
  <c r="F17" i="42"/>
  <c r="D14" i="17"/>
  <c r="AN14" i="17" s="1"/>
  <c r="G18" i="56"/>
  <c r="N18" i="56" s="1"/>
  <c r="U18" i="56" s="1"/>
  <c r="E15" i="46"/>
  <c r="F17" i="17"/>
  <c r="AD17" i="17" s="1"/>
  <c r="C18" i="11"/>
  <c r="V17" i="11"/>
  <c r="V16" i="11"/>
  <c r="E20" i="11"/>
  <c r="H45" i="37"/>
  <c r="H46" i="37" s="1"/>
  <c r="F7" i="6" s="1"/>
  <c r="D25" i="6" s="1"/>
  <c r="J10" i="37"/>
  <c r="J45" i="37" s="1"/>
  <c r="J46" i="37" s="1"/>
  <c r="B19" i="13"/>
  <c r="B23" i="13" s="1"/>
  <c r="H4" i="21"/>
  <c r="H12" i="21" s="1"/>
  <c r="H14" i="21" s="1"/>
  <c r="C25" i="17"/>
  <c r="AM25" i="17" s="1"/>
  <c r="C25" i="56"/>
  <c r="J25" i="56" s="1"/>
  <c r="Q25" i="56" s="1"/>
  <c r="C25" i="42"/>
  <c r="C14" i="21"/>
  <c r="C24" i="17" s="1"/>
  <c r="K12" i="21"/>
  <c r="K14" i="21" s="1"/>
  <c r="AA45" i="17"/>
  <c r="AM45" i="17"/>
  <c r="O45" i="17"/>
  <c r="U45" i="17"/>
  <c r="I45" i="17"/>
  <c r="C36" i="28"/>
  <c r="AP12" i="17"/>
  <c r="AN10" i="17"/>
  <c r="C14" i="10"/>
  <c r="E14" i="17"/>
  <c r="G20" i="11"/>
  <c r="G17" i="56"/>
  <c r="N17" i="56" s="1"/>
  <c r="U17" i="56" s="1"/>
  <c r="C27" i="56"/>
  <c r="J27" i="56" s="1"/>
  <c r="Q27" i="56" s="1"/>
  <c r="C27" i="17"/>
  <c r="C17" i="17"/>
  <c r="AM17" i="17" s="1"/>
  <c r="H20" i="11"/>
  <c r="AM30" i="17"/>
  <c r="P13" i="17"/>
  <c r="AN13" i="17"/>
  <c r="R17" i="17"/>
  <c r="AP17" i="17"/>
  <c r="K12" i="17"/>
  <c r="AO12" i="17"/>
  <c r="E53" i="37"/>
  <c r="E60" i="37"/>
  <c r="D54" i="37"/>
  <c r="D56" i="37"/>
  <c r="D55" i="37"/>
  <c r="F45" i="37"/>
  <c r="F46" i="37" s="1"/>
  <c r="D59" i="37" s="1"/>
  <c r="F9" i="42" s="1"/>
  <c r="D53" i="37"/>
  <c r="F3" i="17" s="1"/>
  <c r="D57" i="37"/>
  <c r="C38" i="28"/>
  <c r="C37" i="28"/>
  <c r="G38" i="28"/>
  <c r="G37" i="28"/>
  <c r="G36" i="28"/>
  <c r="E54" i="37"/>
  <c r="E57" i="37"/>
  <c r="H43" i="37"/>
  <c r="H44" i="37" s="1"/>
  <c r="E58" i="37" s="1"/>
  <c r="G7" i="62" s="1"/>
  <c r="M7" i="62" s="1"/>
  <c r="E56" i="37"/>
  <c r="F56" i="37" s="1"/>
  <c r="E55" i="37"/>
  <c r="F8" i="56"/>
  <c r="M8" i="56" s="1"/>
  <c r="T8" i="56" s="1"/>
  <c r="F7" i="62"/>
  <c r="F8" i="42"/>
  <c r="F8" i="17"/>
  <c r="D14" i="62"/>
  <c r="D16" i="56"/>
  <c r="K16" i="56" s="1"/>
  <c r="R16" i="56" s="1"/>
  <c r="D16" i="17"/>
  <c r="AN16" i="17" s="1"/>
  <c r="D16" i="42"/>
  <c r="Q52" i="17"/>
  <c r="W52" i="17"/>
  <c r="AC52" i="17"/>
  <c r="K52" i="17"/>
  <c r="R52" i="17"/>
  <c r="X52" i="17"/>
  <c r="AD52" i="17"/>
  <c r="L52" i="17"/>
  <c r="F18" i="42"/>
  <c r="C14" i="46"/>
  <c r="H18" i="56" s="1"/>
  <c r="O18" i="56" s="1"/>
  <c r="V18" i="56" s="1"/>
  <c r="C14" i="7"/>
  <c r="H12" i="56"/>
  <c r="O12" i="56" s="1"/>
  <c r="V12" i="56" s="1"/>
  <c r="F18" i="56"/>
  <c r="M18" i="56" s="1"/>
  <c r="T18" i="56" s="1"/>
  <c r="F18" i="17"/>
  <c r="C4" i="17"/>
  <c r="C6" i="42"/>
  <c r="C5" i="17"/>
  <c r="E10" i="56"/>
  <c r="L10" i="56" s="1"/>
  <c r="S10" i="56" s="1"/>
  <c r="E14" i="56"/>
  <c r="L14" i="56" s="1"/>
  <c r="S14" i="56" s="1"/>
  <c r="F10" i="56"/>
  <c r="M10" i="56" s="1"/>
  <c r="T10" i="56" s="1"/>
  <c r="G10" i="56"/>
  <c r="N10" i="56" s="1"/>
  <c r="U10" i="56" s="1"/>
  <c r="G15" i="56"/>
  <c r="N15" i="56" s="1"/>
  <c r="U15" i="56" s="1"/>
  <c r="F15" i="56"/>
  <c r="M15" i="56" s="1"/>
  <c r="T15" i="56" s="1"/>
  <c r="D11" i="56"/>
  <c r="D40" i="56" s="1"/>
  <c r="K40" i="56" s="1"/>
  <c r="R40" i="56" s="1"/>
  <c r="E11" i="56"/>
  <c r="F20" i="11"/>
  <c r="E15" i="56"/>
  <c r="L15" i="56" s="1"/>
  <c r="S15" i="56" s="1"/>
  <c r="C5" i="42"/>
  <c r="C4" i="42"/>
  <c r="C7" i="42"/>
  <c r="C3" i="17"/>
  <c r="C41" i="56"/>
  <c r="J41" i="56" s="1"/>
  <c r="Q41" i="56" s="1"/>
  <c r="C6" i="17"/>
  <c r="L17" i="17"/>
  <c r="AC12" i="17"/>
  <c r="Q12" i="17"/>
  <c r="W12" i="17"/>
  <c r="F16" i="17"/>
  <c r="F16" i="56"/>
  <c r="M16" i="56" s="1"/>
  <c r="T16" i="56" s="1"/>
  <c r="I30" i="17"/>
  <c r="AA30" i="17"/>
  <c r="U30" i="17"/>
  <c r="O30" i="17"/>
  <c r="X17" i="17"/>
  <c r="AD19" i="17"/>
  <c r="X19" i="17"/>
  <c r="L19" i="17"/>
  <c r="R19" i="17"/>
  <c r="J29" i="56"/>
  <c r="Q29" i="56" s="1"/>
  <c r="C42" i="56"/>
  <c r="J42" i="56" s="1"/>
  <c r="Q42" i="56" s="1"/>
  <c r="F11" i="42"/>
  <c r="F11" i="56"/>
  <c r="M11" i="56" s="1"/>
  <c r="T11" i="56" s="1"/>
  <c r="C29" i="17"/>
  <c r="C40" i="42"/>
  <c r="H12" i="17"/>
  <c r="R7" i="9"/>
  <c r="S7" i="9" s="1"/>
  <c r="G11" i="56"/>
  <c r="N11" i="56" s="1"/>
  <c r="U11" i="56" s="1"/>
  <c r="E17" i="39"/>
  <c r="E19" i="39" s="1"/>
  <c r="J13" i="17"/>
  <c r="V13" i="17"/>
  <c r="AB13" i="17"/>
  <c r="G23" i="54"/>
  <c r="G12" i="54"/>
  <c r="G13" i="54" s="1"/>
  <c r="C13" i="54" s="1"/>
  <c r="D11" i="42"/>
  <c r="D38" i="42" s="1"/>
  <c r="D11" i="17"/>
  <c r="H12" i="42"/>
  <c r="H17" i="17"/>
  <c r="AR17" i="17" s="1"/>
  <c r="F11" i="17"/>
  <c r="F15" i="42"/>
  <c r="F15" i="17"/>
  <c r="E15" i="42"/>
  <c r="E15" i="17"/>
  <c r="L12" i="17"/>
  <c r="X12" i="17"/>
  <c r="R12" i="17"/>
  <c r="AD12" i="17"/>
  <c r="F16" i="46"/>
  <c r="F17" i="46" s="1"/>
  <c r="F18" i="46" s="1"/>
  <c r="C18" i="17"/>
  <c r="AM18" i="17" s="1"/>
  <c r="G15" i="42"/>
  <c r="G15" i="17"/>
  <c r="E11" i="42"/>
  <c r="E11" i="17"/>
  <c r="G18" i="42"/>
  <c r="G18" i="17"/>
  <c r="AQ18" i="17" s="1"/>
  <c r="G17" i="42"/>
  <c r="G17" i="17"/>
  <c r="AQ17" i="17" s="1"/>
  <c r="E14" i="42"/>
  <c r="G11" i="42"/>
  <c r="G11" i="17"/>
  <c r="AB15" i="17"/>
  <c r="J15" i="17"/>
  <c r="P15" i="17"/>
  <c r="V15" i="17"/>
  <c r="Y16" i="17"/>
  <c r="S16" i="17"/>
  <c r="M16" i="17"/>
  <c r="AE16" i="17"/>
  <c r="K16" i="17"/>
  <c r="Q16" i="17"/>
  <c r="W16" i="17"/>
  <c r="AC16" i="17"/>
  <c r="E10" i="42"/>
  <c r="G10" i="42"/>
  <c r="P10" i="17"/>
  <c r="V10" i="17"/>
  <c r="AB10" i="17"/>
  <c r="F10" i="42"/>
  <c r="C27" i="42"/>
  <c r="C18" i="42"/>
  <c r="F25" i="54"/>
  <c r="F24" i="54"/>
  <c r="F17" i="54"/>
  <c r="C12" i="54"/>
  <c r="F16" i="54"/>
  <c r="F16" i="42"/>
  <c r="E23" i="48"/>
  <c r="E27" i="48" s="1"/>
  <c r="E32" i="48" s="1"/>
  <c r="J18" i="34"/>
  <c r="D14" i="21"/>
  <c r="F15" i="39"/>
  <c r="G14" i="39"/>
  <c r="C12" i="39"/>
  <c r="G15" i="39"/>
  <c r="F14" i="39"/>
  <c r="H15" i="39"/>
  <c r="H14" i="39"/>
  <c r="J14" i="17" l="1"/>
  <c r="P14" i="17"/>
  <c r="V14" i="17"/>
  <c r="H17" i="42"/>
  <c r="AB14" i="17"/>
  <c r="AA25" i="17"/>
  <c r="O25" i="17"/>
  <c r="C24" i="56"/>
  <c r="J24" i="56" s="1"/>
  <c r="Q24" i="56" s="1"/>
  <c r="C24" i="42"/>
  <c r="I25" i="17"/>
  <c r="U25" i="17"/>
  <c r="Q36" i="28"/>
  <c r="AO15" i="17"/>
  <c r="C23" i="17"/>
  <c r="I23" i="17" s="1"/>
  <c r="AO11" i="17"/>
  <c r="AP15" i="17"/>
  <c r="AQ15" i="17"/>
  <c r="AO10" i="17"/>
  <c r="AO14" i="17"/>
  <c r="AQ11" i="17"/>
  <c r="U17" i="17"/>
  <c r="AP10" i="17"/>
  <c r="AP11" i="17"/>
  <c r="I17" i="17"/>
  <c r="AA17" i="17"/>
  <c r="O17" i="17"/>
  <c r="F4" i="56"/>
  <c r="M4" i="56" s="1"/>
  <c r="T4" i="56" s="1"/>
  <c r="F5" i="17"/>
  <c r="F57" i="37"/>
  <c r="H7" i="56" s="1"/>
  <c r="O7" i="56" s="1"/>
  <c r="V7" i="56" s="1"/>
  <c r="F5" i="56"/>
  <c r="M5" i="56" s="1"/>
  <c r="T5" i="56" s="1"/>
  <c r="F54" i="37"/>
  <c r="G3" i="17"/>
  <c r="AM29" i="17"/>
  <c r="G6" i="56"/>
  <c r="N6" i="56" s="1"/>
  <c r="U6" i="56" s="1"/>
  <c r="F6" i="17"/>
  <c r="I27" i="17"/>
  <c r="AM27" i="17"/>
  <c r="I4" i="17"/>
  <c r="AM4" i="17"/>
  <c r="P11" i="17"/>
  <c r="AN11" i="17"/>
  <c r="X16" i="17"/>
  <c r="AP16" i="17"/>
  <c r="I6" i="17"/>
  <c r="AM6" i="17"/>
  <c r="U3" i="17"/>
  <c r="AM3" i="17"/>
  <c r="Z12" i="17"/>
  <c r="AR12" i="17"/>
  <c r="L8" i="17"/>
  <c r="AP8" i="17"/>
  <c r="I24" i="17"/>
  <c r="AM24" i="17"/>
  <c r="M10" i="17"/>
  <c r="AQ10" i="17"/>
  <c r="X18" i="17"/>
  <c r="AP18" i="17"/>
  <c r="AA5" i="17"/>
  <c r="AM5" i="17"/>
  <c r="G4" i="56"/>
  <c r="N4" i="56" s="1"/>
  <c r="U4" i="56" s="1"/>
  <c r="G4" i="42"/>
  <c r="F53" i="37"/>
  <c r="F5" i="42"/>
  <c r="F4" i="17"/>
  <c r="E63" i="37"/>
  <c r="F63" i="37" s="1"/>
  <c r="F4" i="42"/>
  <c r="G7" i="42"/>
  <c r="R8" i="17"/>
  <c r="X8" i="17"/>
  <c r="G7" i="56"/>
  <c r="N7" i="56" s="1"/>
  <c r="U7" i="56" s="1"/>
  <c r="F6" i="42"/>
  <c r="F7" i="42"/>
  <c r="G8" i="42"/>
  <c r="G6" i="17"/>
  <c r="F9" i="56"/>
  <c r="M9" i="56" s="1"/>
  <c r="T9" i="56" s="1"/>
  <c r="F9" i="17"/>
  <c r="F8" i="62"/>
  <c r="AD8" i="62" s="1"/>
  <c r="F7" i="56"/>
  <c r="M7" i="56" s="1"/>
  <c r="T7" i="56" s="1"/>
  <c r="F6" i="56"/>
  <c r="M6" i="56" s="1"/>
  <c r="T6" i="56" s="1"/>
  <c r="G5" i="17"/>
  <c r="G5" i="42"/>
  <c r="G5" i="56"/>
  <c r="G6" i="42"/>
  <c r="G4" i="17"/>
  <c r="AE7" i="62"/>
  <c r="F55" i="37"/>
  <c r="D7" i="6"/>
  <c r="C25" i="6" s="1"/>
  <c r="G21" i="42" s="1"/>
  <c r="G41" i="42" s="1"/>
  <c r="E59" i="37"/>
  <c r="G8" i="62" s="1"/>
  <c r="AD8" i="17"/>
  <c r="Q38" i="28"/>
  <c r="Q37" i="28"/>
  <c r="Y7" i="62"/>
  <c r="S7" i="62"/>
  <c r="F58" i="37"/>
  <c r="H7" i="62" s="1"/>
  <c r="Z7" i="62" s="1"/>
  <c r="G8" i="56"/>
  <c r="N8" i="56" s="1"/>
  <c r="U8" i="56" s="1"/>
  <c r="G8" i="17"/>
  <c r="R18" i="17"/>
  <c r="AD18" i="17"/>
  <c r="L7" i="62"/>
  <c r="X7" i="62"/>
  <c r="R7" i="62"/>
  <c r="AD7" i="62"/>
  <c r="AB16" i="17"/>
  <c r="P16" i="17"/>
  <c r="V16" i="17"/>
  <c r="J16" i="17"/>
  <c r="P14" i="62"/>
  <c r="AB14" i="62"/>
  <c r="V14" i="62"/>
  <c r="J14" i="62"/>
  <c r="H18" i="17"/>
  <c r="C17" i="46"/>
  <c r="C19" i="46" s="1"/>
  <c r="H18" i="42"/>
  <c r="L18" i="17"/>
  <c r="U4" i="17"/>
  <c r="I5" i="17"/>
  <c r="O5" i="17"/>
  <c r="U5" i="17"/>
  <c r="AA4" i="17"/>
  <c r="O4" i="17"/>
  <c r="K11" i="56"/>
  <c r="R11" i="56" s="1"/>
  <c r="E40" i="56"/>
  <c r="L40" i="56" s="1"/>
  <c r="S40" i="56" s="1"/>
  <c r="L11" i="56"/>
  <c r="S11" i="56" s="1"/>
  <c r="H15" i="56"/>
  <c r="O15" i="56" s="1"/>
  <c r="V15" i="56" s="1"/>
  <c r="H11" i="56"/>
  <c r="O11" i="56" s="1"/>
  <c r="V11" i="56" s="1"/>
  <c r="C20" i="11"/>
  <c r="H10" i="56"/>
  <c r="O10" i="56" s="1"/>
  <c r="V10" i="56" s="1"/>
  <c r="C39" i="42"/>
  <c r="O6" i="17"/>
  <c r="U6" i="17"/>
  <c r="AA6" i="17"/>
  <c r="O3" i="17"/>
  <c r="I3" i="17"/>
  <c r="AA3" i="17"/>
  <c r="C51" i="17"/>
  <c r="AA51" i="17" s="1"/>
  <c r="L16" i="17"/>
  <c r="AA24" i="17"/>
  <c r="U24" i="17"/>
  <c r="O24" i="17"/>
  <c r="AD16" i="17"/>
  <c r="R16" i="17"/>
  <c r="N12" i="17"/>
  <c r="T12" i="17"/>
  <c r="AF12" i="17"/>
  <c r="AA29" i="17"/>
  <c r="U29" i="17"/>
  <c r="I29" i="17"/>
  <c r="O29" i="17"/>
  <c r="C23" i="56"/>
  <c r="D21" i="17"/>
  <c r="D21" i="56"/>
  <c r="D21" i="42"/>
  <c r="D41" i="42" s="1"/>
  <c r="V11" i="17"/>
  <c r="J11" i="17"/>
  <c r="D50" i="17"/>
  <c r="P50" i="17" s="1"/>
  <c r="K14" i="17"/>
  <c r="W14" i="17"/>
  <c r="Q14" i="17"/>
  <c r="AC14" i="17"/>
  <c r="K11" i="17"/>
  <c r="W11" i="17"/>
  <c r="AC11" i="17"/>
  <c r="Q11" i="17"/>
  <c r="Q15" i="17"/>
  <c r="AC15" i="17"/>
  <c r="W15" i="17"/>
  <c r="K15" i="17"/>
  <c r="AB11" i="17"/>
  <c r="Y17" i="17"/>
  <c r="S17" i="17"/>
  <c r="M17" i="17"/>
  <c r="AE17" i="17"/>
  <c r="AE15" i="17"/>
  <c r="Y15" i="17"/>
  <c r="S15" i="17"/>
  <c r="M15" i="17"/>
  <c r="X15" i="17"/>
  <c r="R15" i="17"/>
  <c r="AD15" i="17"/>
  <c r="L15" i="17"/>
  <c r="X11" i="17"/>
  <c r="R11" i="17"/>
  <c r="AD11" i="17"/>
  <c r="L11" i="17"/>
  <c r="H11" i="42"/>
  <c r="H11" i="17"/>
  <c r="AR11" i="17" s="1"/>
  <c r="AE11" i="17"/>
  <c r="Y11" i="17"/>
  <c r="S11" i="17"/>
  <c r="M11" i="17"/>
  <c r="M18" i="17"/>
  <c r="Y18" i="17"/>
  <c r="S18" i="17"/>
  <c r="AE18" i="17"/>
  <c r="AF17" i="17"/>
  <c r="Z17" i="17"/>
  <c r="T17" i="17"/>
  <c r="N17" i="17"/>
  <c r="H15" i="42"/>
  <c r="H15" i="17"/>
  <c r="AR15" i="17" s="1"/>
  <c r="U18" i="17"/>
  <c r="AA18" i="17"/>
  <c r="I18" i="17"/>
  <c r="O18" i="17"/>
  <c r="W10" i="17"/>
  <c r="K10" i="17"/>
  <c r="Q10" i="17"/>
  <c r="AC10" i="17"/>
  <c r="E50" i="17"/>
  <c r="S10" i="17"/>
  <c r="Y10" i="17"/>
  <c r="AE10" i="17"/>
  <c r="H10" i="42"/>
  <c r="AR10" i="17"/>
  <c r="R10" i="17"/>
  <c r="AD10" i="17"/>
  <c r="L10" i="17"/>
  <c r="X10" i="17"/>
  <c r="AA27" i="17"/>
  <c r="O27" i="17"/>
  <c r="U27" i="17"/>
  <c r="F19" i="54"/>
  <c r="F21" i="54" s="1"/>
  <c r="F26" i="54"/>
  <c r="F27" i="54" s="1"/>
  <c r="G30" i="54"/>
  <c r="G24" i="54"/>
  <c r="G25" i="54"/>
  <c r="G16" i="54"/>
  <c r="G17" i="54"/>
  <c r="C17" i="54"/>
  <c r="C16" i="54"/>
  <c r="C23" i="42"/>
  <c r="C42" i="42" s="1"/>
  <c r="E38" i="42"/>
  <c r="F17" i="39"/>
  <c r="F19" i="39" s="1"/>
  <c r="H17" i="39"/>
  <c r="H19" i="39" s="1"/>
  <c r="G17" i="39"/>
  <c r="G19" i="39" s="1"/>
  <c r="C15" i="39"/>
  <c r="C14" i="39"/>
  <c r="C12" i="18"/>
  <c r="H16" i="56" s="1"/>
  <c r="O16" i="56" s="1"/>
  <c r="V16" i="56" s="1"/>
  <c r="C53" i="17" l="1"/>
  <c r="AA53" i="17" s="1"/>
  <c r="AQ3" i="17"/>
  <c r="AM23" i="17"/>
  <c r="R6" i="17"/>
  <c r="X5" i="17"/>
  <c r="AP5" i="17"/>
  <c r="R5" i="17"/>
  <c r="AD5" i="17"/>
  <c r="X6" i="17"/>
  <c r="G41" i="56"/>
  <c r="N41" i="56" s="1"/>
  <c r="U41" i="56" s="1"/>
  <c r="H4" i="42"/>
  <c r="H5" i="56"/>
  <c r="O5" i="56" s="1"/>
  <c r="V5" i="56" s="1"/>
  <c r="L6" i="17"/>
  <c r="H4" i="17"/>
  <c r="AD6" i="17"/>
  <c r="H5" i="42"/>
  <c r="H7" i="42"/>
  <c r="H6" i="17"/>
  <c r="L5" i="17"/>
  <c r="AP6" i="17"/>
  <c r="H5" i="17"/>
  <c r="S6" i="17"/>
  <c r="AQ6" i="17"/>
  <c r="AE8" i="17"/>
  <c r="AQ8" i="17"/>
  <c r="Y4" i="17"/>
  <c r="AQ4" i="17"/>
  <c r="P21" i="17"/>
  <c r="AN21" i="17"/>
  <c r="Y5" i="17"/>
  <c r="AQ5" i="17"/>
  <c r="L9" i="17"/>
  <c r="AP9" i="17"/>
  <c r="Z18" i="17"/>
  <c r="AR18" i="17"/>
  <c r="R4" i="17"/>
  <c r="AP4" i="17"/>
  <c r="L3" i="17"/>
  <c r="AP3" i="17"/>
  <c r="AE3" i="17"/>
  <c r="Y3" i="17"/>
  <c r="H4" i="56"/>
  <c r="O4" i="56" s="1"/>
  <c r="V4" i="56" s="1"/>
  <c r="M3" i="17"/>
  <c r="S3" i="17"/>
  <c r="H3" i="17"/>
  <c r="L4" i="17"/>
  <c r="X4" i="17"/>
  <c r="AD4" i="17"/>
  <c r="F39" i="42"/>
  <c r="AE6" i="17"/>
  <c r="F51" i="17"/>
  <c r="L51" i="17" s="1"/>
  <c r="R3" i="17"/>
  <c r="X9" i="17"/>
  <c r="M6" i="17"/>
  <c r="R9" i="17"/>
  <c r="Y6" i="17"/>
  <c r="AD9" i="17"/>
  <c r="X3" i="17"/>
  <c r="R8" i="62"/>
  <c r="L8" i="62"/>
  <c r="X8" i="62"/>
  <c r="AD3" i="17"/>
  <c r="F41" i="56"/>
  <c r="M41" i="56" s="1"/>
  <c r="T41" i="56" s="1"/>
  <c r="M5" i="17"/>
  <c r="AE5" i="17"/>
  <c r="G39" i="42"/>
  <c r="S5" i="17"/>
  <c r="H8" i="17"/>
  <c r="AE4" i="17"/>
  <c r="H6" i="56"/>
  <c r="O6" i="56" s="1"/>
  <c r="V6" i="56" s="1"/>
  <c r="G9" i="17"/>
  <c r="F59" i="37"/>
  <c r="H9" i="56" s="1"/>
  <c r="O9" i="56" s="1"/>
  <c r="V9" i="56" s="1"/>
  <c r="G51" i="17"/>
  <c r="M51" i="17" s="1"/>
  <c r="E61" i="37"/>
  <c r="M4" i="17"/>
  <c r="G9" i="42"/>
  <c r="G21" i="17"/>
  <c r="G9" i="56"/>
  <c r="N9" i="56" s="1"/>
  <c r="U9" i="56" s="1"/>
  <c r="S4" i="17"/>
  <c r="G21" i="56"/>
  <c r="N21" i="56" s="1"/>
  <c r="U21" i="56" s="1"/>
  <c r="N5" i="56"/>
  <c r="U5" i="56" s="1"/>
  <c r="H6" i="42"/>
  <c r="S8" i="17"/>
  <c r="N7" i="62"/>
  <c r="M8" i="17"/>
  <c r="AF7" i="62"/>
  <c r="T7" i="62"/>
  <c r="H8" i="56"/>
  <c r="O8" i="56" s="1"/>
  <c r="V8" i="56" s="1"/>
  <c r="H8" i="42"/>
  <c r="Y8" i="17"/>
  <c r="S8" i="62"/>
  <c r="AE8" i="62"/>
  <c r="Y8" i="62"/>
  <c r="M8" i="62"/>
  <c r="N18" i="17"/>
  <c r="AF18" i="17"/>
  <c r="T18" i="17"/>
  <c r="O51" i="17"/>
  <c r="I51" i="17"/>
  <c r="U51" i="17"/>
  <c r="U23" i="17"/>
  <c r="O23" i="17"/>
  <c r="V21" i="17"/>
  <c r="J21" i="17"/>
  <c r="AB21" i="17"/>
  <c r="C44" i="56"/>
  <c r="J44" i="56" s="1"/>
  <c r="Q44" i="56" s="1"/>
  <c r="J23" i="56"/>
  <c r="Q23" i="56" s="1"/>
  <c r="AA23" i="17"/>
  <c r="D52" i="17"/>
  <c r="AB52" i="17" s="1"/>
  <c r="K21" i="56"/>
  <c r="R21" i="56" s="1"/>
  <c r="D43" i="56"/>
  <c r="K43" i="56" s="1"/>
  <c r="R43" i="56" s="1"/>
  <c r="J50" i="17"/>
  <c r="V50" i="17"/>
  <c r="AB50" i="17"/>
  <c r="N11" i="17"/>
  <c r="Z11" i="17"/>
  <c r="T11" i="17"/>
  <c r="AF11" i="17"/>
  <c r="N15" i="17"/>
  <c r="T15" i="17"/>
  <c r="Z15" i="17"/>
  <c r="AF15" i="17"/>
  <c r="H16" i="42"/>
  <c r="H16" i="17"/>
  <c r="AR16" i="17" s="1"/>
  <c r="K50" i="17"/>
  <c r="W50" i="17"/>
  <c r="Q50" i="17"/>
  <c r="AC50" i="17"/>
  <c r="AF10" i="17"/>
  <c r="Z10" i="17"/>
  <c r="T10" i="17"/>
  <c r="N10" i="17"/>
  <c r="C19" i="54"/>
  <c r="C21" i="54" s="1"/>
  <c r="G26" i="54"/>
  <c r="G27" i="54" s="1"/>
  <c r="G19" i="54"/>
  <c r="G21" i="54" s="1"/>
  <c r="G21" i="39"/>
  <c r="C17" i="39"/>
  <c r="C19" i="39" s="1"/>
  <c r="I53" i="17" l="1"/>
  <c r="U53" i="17"/>
  <c r="N5" i="17"/>
  <c r="O53" i="17"/>
  <c r="AR6" i="17"/>
  <c r="N4" i="17"/>
  <c r="AR5" i="17"/>
  <c r="AF6" i="17"/>
  <c r="H39" i="42"/>
  <c r="N6" i="17"/>
  <c r="Z6" i="17"/>
  <c r="T6" i="17"/>
  <c r="Z4" i="17"/>
  <c r="AF4" i="17"/>
  <c r="T4" i="17"/>
  <c r="AR4" i="17"/>
  <c r="Z5" i="17"/>
  <c r="T5" i="17"/>
  <c r="AF5" i="17"/>
  <c r="M9" i="17"/>
  <c r="AQ9" i="17"/>
  <c r="N3" i="17"/>
  <c r="AR3" i="17"/>
  <c r="AF8" i="17"/>
  <c r="AR8" i="17"/>
  <c r="M21" i="17"/>
  <c r="AQ21" i="17"/>
  <c r="AF3" i="17"/>
  <c r="Z3" i="17"/>
  <c r="H51" i="17"/>
  <c r="Z51" i="17" s="1"/>
  <c r="T3" i="17"/>
  <c r="AD51" i="17"/>
  <c r="R51" i="17"/>
  <c r="X51" i="17"/>
  <c r="N8" i="17"/>
  <c r="T8" i="17"/>
  <c r="Z8" i="17"/>
  <c r="H8" i="62"/>
  <c r="N8" i="62" s="1"/>
  <c r="S51" i="17"/>
  <c r="H41" i="56"/>
  <c r="O41" i="56" s="1"/>
  <c r="V41" i="56" s="1"/>
  <c r="Y9" i="17"/>
  <c r="S9" i="17"/>
  <c r="AE51" i="17"/>
  <c r="H9" i="42"/>
  <c r="G52" i="17"/>
  <c r="M52" i="17" s="1"/>
  <c r="H9" i="17"/>
  <c r="AE9" i="17"/>
  <c r="AE21" i="17"/>
  <c r="Y21" i="17"/>
  <c r="Y51" i="17"/>
  <c r="S21" i="17"/>
  <c r="G43" i="56"/>
  <c r="N43" i="56" s="1"/>
  <c r="U43" i="56" s="1"/>
  <c r="J52" i="17"/>
  <c r="V52" i="17"/>
  <c r="P52" i="17"/>
  <c r="T16" i="17"/>
  <c r="N16" i="17"/>
  <c r="Z16" i="17"/>
  <c r="AF16" i="17"/>
  <c r="H8" i="12"/>
  <c r="G8" i="12"/>
  <c r="Z9" i="17" l="1"/>
  <c r="AR9" i="17"/>
  <c r="AF51" i="17"/>
  <c r="T51" i="17"/>
  <c r="N51" i="17"/>
  <c r="Z8" i="62"/>
  <c r="AF8" i="62"/>
  <c r="T8" i="62"/>
  <c r="Y52" i="17"/>
  <c r="S52" i="17"/>
  <c r="AE52" i="17"/>
  <c r="N9" i="17"/>
  <c r="T9" i="17"/>
  <c r="AF9" i="17"/>
  <c r="G10" i="12" l="1"/>
  <c r="G14" i="12" s="1"/>
  <c r="G15" i="12" s="1"/>
  <c r="H10" i="12"/>
  <c r="H14" i="12" s="1"/>
  <c r="H15" i="12" s="1"/>
  <c r="C14" i="12" l="1"/>
  <c r="G14" i="17"/>
  <c r="F14" i="17"/>
  <c r="G14" i="56"/>
  <c r="N14" i="56" s="1"/>
  <c r="U14" i="56" s="1"/>
  <c r="F14" i="56"/>
  <c r="M14" i="56" s="1"/>
  <c r="T14" i="56" s="1"/>
  <c r="G14" i="42"/>
  <c r="G38" i="42" s="1"/>
  <c r="F14" i="42"/>
  <c r="F38" i="42" s="1"/>
  <c r="AP14" i="17" l="1"/>
  <c r="AQ14" i="17"/>
  <c r="C15" i="12"/>
  <c r="G40" i="56"/>
  <c r="N40" i="56" s="1"/>
  <c r="U40" i="56" s="1"/>
  <c r="F40" i="56"/>
  <c r="M40" i="56" s="1"/>
  <c r="T40" i="56" s="1"/>
  <c r="H14" i="56"/>
  <c r="O14" i="56" s="1"/>
  <c r="V14" i="56" s="1"/>
  <c r="H14" i="42"/>
  <c r="H38" i="42" s="1"/>
  <c r="H14" i="17"/>
  <c r="AR14" i="17" s="1"/>
  <c r="AD14" i="17"/>
  <c r="L14" i="17"/>
  <c r="X14" i="17"/>
  <c r="R14" i="17"/>
  <c r="F50" i="17"/>
  <c r="AE14" i="17"/>
  <c r="Y14" i="17"/>
  <c r="S14" i="17"/>
  <c r="M14" i="17"/>
  <c r="G50" i="17"/>
  <c r="H40" i="56" l="1"/>
  <c r="O40" i="56" s="1"/>
  <c r="V40" i="56" s="1"/>
  <c r="X50" i="17"/>
  <c r="AD50" i="17"/>
  <c r="L50" i="17"/>
  <c r="R50" i="17"/>
  <c r="S50" i="17"/>
  <c r="M50" i="17"/>
  <c r="Y50" i="17"/>
  <c r="AE50" i="17"/>
  <c r="T14" i="17"/>
  <c r="N14" i="17"/>
  <c r="Z14" i="17"/>
  <c r="AF14" i="17"/>
  <c r="H50" i="17"/>
  <c r="T50" i="17" l="1"/>
  <c r="N50" i="17"/>
  <c r="AF50" i="17"/>
  <c r="Z50" i="17"/>
  <c r="G77" i="34" l="1"/>
  <c r="D92" i="34" l="1"/>
  <c r="D93" i="34"/>
  <c r="C39" i="17"/>
  <c r="AM39" i="17" l="1"/>
  <c r="D97" i="34"/>
  <c r="J16" i="34" s="1"/>
  <c r="I39" i="17"/>
  <c r="AA39" i="17"/>
  <c r="O39" i="17"/>
  <c r="U39" i="17"/>
  <c r="D101" i="34" l="1"/>
  <c r="F164" i="27" l="1"/>
  <c r="I164" i="27" s="1"/>
  <c r="D12" i="60" s="1"/>
  <c r="D18" i="60" l="1"/>
  <c r="D20" i="60" s="1"/>
  <c r="D24" i="60" s="1"/>
  <c r="H91" i="27" l="1"/>
  <c r="I91" i="27" s="1"/>
  <c r="AN4" i="8" s="1"/>
  <c r="AN8" i="8" s="1"/>
  <c r="H92" i="27"/>
  <c r="I92" i="27" s="1"/>
  <c r="AR4" i="8" s="1"/>
  <c r="AR8" i="8" s="1"/>
  <c r="BU27" i="41" l="1"/>
  <c r="BU29" i="41" s="1"/>
  <c r="AY27" i="41"/>
  <c r="AY29" i="41" s="1"/>
  <c r="BJ27" i="41"/>
  <c r="BJ29" i="41" s="1"/>
  <c r="R27" i="41"/>
  <c r="R29" i="41" s="1"/>
  <c r="AN27" i="41"/>
  <c r="AN29" i="41" s="1"/>
  <c r="AC27" i="41"/>
  <c r="AC29" i="41" s="1"/>
  <c r="G27" i="41"/>
  <c r="G29" i="41" s="1"/>
  <c r="BR27" i="41"/>
  <c r="BR29" i="41" s="1"/>
  <c r="Z27" i="41"/>
  <c r="Z29" i="41" s="1"/>
  <c r="BG27" i="41"/>
  <c r="BG29" i="41" s="1"/>
  <c r="O27" i="41"/>
  <c r="O29" i="41" s="1"/>
  <c r="AK27" i="41"/>
  <c r="AK29" i="41" s="1"/>
  <c r="D27" i="41"/>
  <c r="D29" i="41" s="1"/>
  <c r="AV27" i="41"/>
  <c r="AV29" i="41" s="1"/>
  <c r="F35" i="42" l="1"/>
  <c r="F35" i="17" s="1"/>
  <c r="F35" i="56"/>
  <c r="M35" i="56" s="1"/>
  <c r="T35" i="56" s="1"/>
  <c r="AV31" i="41"/>
  <c r="AV33" i="41" s="1"/>
  <c r="F28" i="56"/>
  <c r="F28" i="42"/>
  <c r="D31" i="41"/>
  <c r="D33" i="41" s="1"/>
  <c r="F31" i="42"/>
  <c r="F31" i="17" s="1"/>
  <c r="F31" i="56"/>
  <c r="M31" i="56" s="1"/>
  <c r="T31" i="56" s="1"/>
  <c r="AK31" i="41"/>
  <c r="AK33" i="41" s="1"/>
  <c r="F29" i="56"/>
  <c r="M29" i="56" s="1"/>
  <c r="T29" i="56" s="1"/>
  <c r="O31" i="41"/>
  <c r="O33" i="41" s="1"/>
  <c r="F29" i="42"/>
  <c r="F29" i="17" s="1"/>
  <c r="F36" i="56"/>
  <c r="M36" i="56" s="1"/>
  <c r="T36" i="56" s="1"/>
  <c r="BG31" i="41"/>
  <c r="BG33" i="41" s="1"/>
  <c r="F33" i="17"/>
  <c r="F30" i="56"/>
  <c r="M30" i="56" s="1"/>
  <c r="T30" i="56" s="1"/>
  <c r="Z31" i="41"/>
  <c r="Z33" i="41" s="1"/>
  <c r="F30" i="42"/>
  <c r="F30" i="17" s="1"/>
  <c r="F37" i="56"/>
  <c r="M37" i="56" s="1"/>
  <c r="T37" i="56" s="1"/>
  <c r="BR31" i="41"/>
  <c r="BR33" i="41" s="1"/>
  <c r="E28" i="56"/>
  <c r="E28" i="42"/>
  <c r="G31" i="41"/>
  <c r="G33" i="41" s="1"/>
  <c r="E30" i="56"/>
  <c r="L30" i="56" s="1"/>
  <c r="S30" i="56" s="1"/>
  <c r="AC31" i="41"/>
  <c r="AC33" i="41" s="1"/>
  <c r="E30" i="42"/>
  <c r="E30" i="17" s="1"/>
  <c r="E31" i="56"/>
  <c r="L31" i="56" s="1"/>
  <c r="S31" i="56" s="1"/>
  <c r="E31" i="42"/>
  <c r="E31" i="17" s="1"/>
  <c r="AN31" i="41"/>
  <c r="AN33" i="41" s="1"/>
  <c r="R31" i="41"/>
  <c r="R33" i="41" s="1"/>
  <c r="E29" i="56"/>
  <c r="L29" i="56" s="1"/>
  <c r="S29" i="56" s="1"/>
  <c r="E29" i="42"/>
  <c r="E29" i="17" s="1"/>
  <c r="E36" i="56"/>
  <c r="L36" i="56" s="1"/>
  <c r="S36" i="56" s="1"/>
  <c r="BJ31" i="41"/>
  <c r="BJ33" i="41" s="1"/>
  <c r="E33" i="17"/>
  <c r="AY31" i="41"/>
  <c r="AY33" i="41" s="1"/>
  <c r="E35" i="42"/>
  <c r="E35" i="17" s="1"/>
  <c r="E35" i="56"/>
  <c r="L35" i="56" s="1"/>
  <c r="S35" i="56" s="1"/>
  <c r="BU31" i="41"/>
  <c r="BU33" i="41" s="1"/>
  <c r="E37" i="56"/>
  <c r="L37" i="56" s="1"/>
  <c r="S37" i="56" s="1"/>
  <c r="AO35" i="17" l="1"/>
  <c r="K35" i="17"/>
  <c r="W35" i="17"/>
  <c r="Q35" i="17"/>
  <c r="AC35" i="17"/>
  <c r="AO33" i="17"/>
  <c r="K33" i="17"/>
  <c r="W33" i="17"/>
  <c r="AC33" i="17"/>
  <c r="Q33" i="17"/>
  <c r="Q29" i="17"/>
  <c r="AO29" i="17"/>
  <c r="AC29" i="17"/>
  <c r="W29" i="17"/>
  <c r="K29" i="17"/>
  <c r="AO31" i="17"/>
  <c r="K31" i="17"/>
  <c r="W31" i="17"/>
  <c r="Q31" i="17"/>
  <c r="AC31" i="17"/>
  <c r="AO30" i="17"/>
  <c r="K30" i="17"/>
  <c r="Q30" i="17"/>
  <c r="AC30" i="17"/>
  <c r="W30" i="17"/>
  <c r="E28" i="17"/>
  <c r="E40" i="42"/>
  <c r="L28" i="56"/>
  <c r="S28" i="56" s="1"/>
  <c r="E42" i="56"/>
  <c r="L42" i="56" s="1"/>
  <c r="S42" i="56" s="1"/>
  <c r="AP30" i="17"/>
  <c r="L30" i="17"/>
  <c r="X30" i="17"/>
  <c r="R30" i="17"/>
  <c r="AD30" i="17"/>
  <c r="AP33" i="17"/>
  <c r="L33" i="17"/>
  <c r="X33" i="17"/>
  <c r="R33" i="17"/>
  <c r="AD33" i="17"/>
  <c r="X29" i="17"/>
  <c r="AP29" i="17"/>
  <c r="R29" i="17"/>
  <c r="L29" i="17"/>
  <c r="AD29" i="17"/>
  <c r="AP31" i="17"/>
  <c r="L31" i="17"/>
  <c r="X31" i="17"/>
  <c r="R31" i="17"/>
  <c r="AD31" i="17"/>
  <c r="F28" i="17"/>
  <c r="F40" i="42"/>
  <c r="M28" i="56"/>
  <c r="T28" i="56" s="1"/>
  <c r="F42" i="56"/>
  <c r="M42" i="56" s="1"/>
  <c r="T42" i="56" s="1"/>
  <c r="AP35" i="17"/>
  <c r="L35" i="17"/>
  <c r="X35" i="17"/>
  <c r="R35" i="17"/>
  <c r="AD35" i="17"/>
  <c r="J128" i="27"/>
  <c r="J3" i="27"/>
  <c r="J5" i="27"/>
  <c r="J6" i="27"/>
  <c r="J8" i="27"/>
  <c r="J10" i="27"/>
  <c r="J11" i="27"/>
  <c r="J18" i="27"/>
  <c r="J21" i="27"/>
  <c r="J22" i="27"/>
  <c r="J23" i="27"/>
  <c r="J24" i="27"/>
  <c r="J27" i="27"/>
  <c r="J28" i="27"/>
  <c r="J29" i="27"/>
  <c r="J30" i="27"/>
  <c r="J31" i="27"/>
  <c r="J32" i="27"/>
  <c r="J33" i="27"/>
  <c r="J37" i="27"/>
  <c r="J38" i="27"/>
  <c r="J39" i="27"/>
  <c r="J40" i="27"/>
  <c r="J42" i="27"/>
  <c r="J43" i="27"/>
  <c r="J44" i="27"/>
  <c r="J45" i="27"/>
  <c r="J46" i="27"/>
  <c r="J47" i="27"/>
  <c r="J48" i="27"/>
  <c r="J49" i="27"/>
  <c r="J50" i="27"/>
  <c r="J54" i="27"/>
  <c r="J55" i="27"/>
  <c r="J56" i="27"/>
  <c r="J57" i="27"/>
  <c r="J58" i="27"/>
  <c r="J59" i="27"/>
  <c r="J60" i="27"/>
  <c r="J61" i="27"/>
  <c r="J62" i="27"/>
  <c r="J64" i="27"/>
  <c r="J65" i="27"/>
  <c r="J66" i="27"/>
  <c r="J67" i="27"/>
  <c r="J68" i="27"/>
  <c r="J69" i="27"/>
  <c r="J70" i="27"/>
  <c r="J72" i="27"/>
  <c r="J73" i="27"/>
  <c r="J74" i="27"/>
  <c r="J76" i="27"/>
  <c r="J77" i="27"/>
  <c r="J78" i="27"/>
  <c r="J79" i="27"/>
  <c r="J80" i="27"/>
  <c r="J81" i="27"/>
  <c r="J82" i="27"/>
  <c r="J83" i="27"/>
  <c r="J84" i="27"/>
  <c r="J85" i="27"/>
  <c r="J86" i="27"/>
  <c r="J88" i="27"/>
  <c r="J89" i="27"/>
  <c r="J96" i="27"/>
  <c r="J97" i="27"/>
  <c r="J98" i="27"/>
  <c r="J99" i="27"/>
  <c r="J100" i="27"/>
  <c r="J102" i="27"/>
  <c r="J103" i="27"/>
  <c r="J104" i="27"/>
  <c r="J105" i="27"/>
  <c r="J106" i="27"/>
  <c r="J107" i="27"/>
  <c r="J108" i="27"/>
  <c r="J109" i="27"/>
  <c r="J110" i="27"/>
  <c r="J113" i="27"/>
  <c r="J114" i="27"/>
  <c r="J115" i="27"/>
  <c r="J116" i="27"/>
  <c r="J117" i="27"/>
  <c r="J118" i="27"/>
  <c r="J119" i="27"/>
  <c r="J120" i="27"/>
  <c r="J121" i="27"/>
  <c r="J122" i="27"/>
  <c r="J123" i="27"/>
  <c r="J124" i="27"/>
  <c r="J126" i="27"/>
  <c r="J127" i="27"/>
  <c r="J142" i="27"/>
  <c r="J146" i="27"/>
  <c r="J147" i="27"/>
  <c r="J148" i="27"/>
  <c r="J149" i="27"/>
  <c r="J150" i="27"/>
  <c r="J151" i="27"/>
  <c r="J152" i="27"/>
  <c r="J153" i="27"/>
  <c r="J155" i="27"/>
  <c r="J156" i="27"/>
  <c r="J157" i="27"/>
  <c r="J161" i="27"/>
  <c r="J162" i="27"/>
  <c r="L28" i="17" l="1"/>
  <c r="AP28" i="17"/>
  <c r="R28" i="17"/>
  <c r="X28" i="17"/>
  <c r="AD28" i="17"/>
  <c r="AC28" i="17"/>
  <c r="AO28" i="17"/>
  <c r="Q28" i="17"/>
  <c r="K28" i="17"/>
  <c r="W28" i="17"/>
  <c r="AK17" i="17" l="1"/>
  <c r="AI15" i="62"/>
  <c r="AI16" i="62"/>
  <c r="AI18" i="17"/>
  <c r="AI17" i="17"/>
  <c r="AK18" i="17"/>
  <c r="AK15" i="62"/>
  <c r="AK16" i="62"/>
  <c r="AG32" i="17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Pollyana's Dolce Pastelería</author>
    <author>tc={395A31AC-2080-4BB3-9A17-316AB6269217}</author>
  </authors>
  <commentList>
    <comment ref="G95" authorId="0" shapeId="0" xr:uid="{5A6CF284-1230-4751-909B-B2DDA7D17BF5}">
      <text>
        <r>
          <rPr>
            <b/>
            <sz val="9"/>
            <color rgb="FF000000"/>
            <rFont val="Tahoma"/>
            <family val="2"/>
          </rPr>
          <t xml:space="preserve">Pollyana's Dolce Pastelería:
</t>
        </r>
        <r>
          <rPr>
            <sz val="9"/>
            <color rgb="FF000000"/>
            <rFont val="Tahoma"/>
            <family val="2"/>
          </rPr>
          <t>Crema Lotus 70 gramos + el costo de dream whip de 1.110 Kg.</t>
        </r>
        <r>
          <rPr>
            <b/>
            <sz val="9"/>
            <color rgb="FF000000"/>
            <rFont val="Tahoma"/>
            <family val="2"/>
          </rPr>
          <t xml:space="preserve">
</t>
        </r>
      </text>
    </comment>
    <comment ref="A118" authorId="1" shapeId="0" xr:uid="{395A31AC-2080-4BB3-9A17-316AB6269217}">
      <text>
        <t xml:space="preserve"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REVISAR CANELA Y LIMÓN
</t>
      </text>
    </comment>
  </commentList>
</comments>
</file>

<file path=xl/sharedStrings.xml><?xml version="1.0" encoding="utf-8"?>
<sst xmlns="http://schemas.openxmlformats.org/spreadsheetml/2006/main" count="5429" uniqueCount="835">
  <si>
    <t>Nombre Corto</t>
  </si>
  <si>
    <t>Código de Barras</t>
  </si>
  <si>
    <t>Producto</t>
  </si>
  <si>
    <t>Descripción</t>
  </si>
  <si>
    <t>Cantidad</t>
  </si>
  <si>
    <t>Unidad</t>
  </si>
  <si>
    <t>Precio</t>
  </si>
  <si>
    <t>Costo</t>
  </si>
  <si>
    <t>$/Unidad</t>
  </si>
  <si>
    <t>Estado</t>
  </si>
  <si>
    <t>Fecha</t>
  </si>
  <si>
    <t>Abarrotera del Duero</t>
  </si>
  <si>
    <t>Duero</t>
  </si>
  <si>
    <t>Azúcar Estándar</t>
  </si>
  <si>
    <t>Azucar estándar granel (costal de 50 kg)</t>
  </si>
  <si>
    <t>KG</t>
  </si>
  <si>
    <t>Jugo de Piña</t>
  </si>
  <si>
    <t>Jumex Jugo de piña</t>
  </si>
  <si>
    <t>LT</t>
  </si>
  <si>
    <t>Galleta María</t>
  </si>
  <si>
    <t>Galletas Gamesa Marías (Pieza 170 gr)</t>
  </si>
  <si>
    <t>PZ</t>
  </si>
  <si>
    <t>Media Crema</t>
  </si>
  <si>
    <t>Lala Media Crema cartón con 24 envases de 500 ml c/u</t>
  </si>
  <si>
    <t>LecheLala</t>
  </si>
  <si>
    <t>Leche Lala Entera cartón de 1 LT</t>
  </si>
  <si>
    <t>NutriLeche</t>
  </si>
  <si>
    <t>Leche Nutrileche (1 Litro)</t>
  </si>
  <si>
    <t>Aceites Grasas y Derivados</t>
  </si>
  <si>
    <t>Aceites</t>
  </si>
  <si>
    <t>Aceite</t>
  </si>
  <si>
    <t>Aceite Cristal Puro de Maiz (cartón con 12 envases de1 Lt)</t>
  </si>
  <si>
    <t>Abarrotera Santa Cruz</t>
  </si>
  <si>
    <t>Santa Cruz</t>
  </si>
  <si>
    <t>Mermelada Fresa Preparada</t>
  </si>
  <si>
    <t>Mermelada Fresa Preparada 40 LB</t>
  </si>
  <si>
    <t>Alegría de Guadalajara</t>
  </si>
  <si>
    <t>Alegría</t>
  </si>
  <si>
    <t>Gragea Colores</t>
  </si>
  <si>
    <t>Confetti Sequins (2.27 kg)</t>
  </si>
  <si>
    <t>Grageas Bright</t>
  </si>
  <si>
    <t>Confeti Sequins Bright 2.2 Kg</t>
  </si>
  <si>
    <t>Colorante Rojo</t>
  </si>
  <si>
    <t>Colorante en gel color rojo (Super Ed)</t>
  </si>
  <si>
    <t>Corazon Perla</t>
  </si>
  <si>
    <t>Mini Corazon</t>
  </si>
  <si>
    <t>ROJOBLANCOROSA</t>
  </si>
  <si>
    <t>kg</t>
  </si>
  <si>
    <t>Agrofesas</t>
  </si>
  <si>
    <t>Agrofresas</t>
  </si>
  <si>
    <t>Fresa</t>
  </si>
  <si>
    <t>Caja de fresas (1 caja de 5-6 kg a $300)</t>
  </si>
  <si>
    <t>Minimo y máx del 2024 entre 2 más un margen del 15%.</t>
  </si>
  <si>
    <t>Barcel</t>
  </si>
  <si>
    <t>Bubulubu</t>
  </si>
  <si>
    <t>Chocolate bubulubu</t>
  </si>
  <si>
    <t>Casa Elina</t>
  </si>
  <si>
    <t>Elina</t>
  </si>
  <si>
    <t>Coco</t>
  </si>
  <si>
    <t>Coco Suave Rallado FSI-Dawn</t>
  </si>
  <si>
    <t>Desmoldante</t>
  </si>
  <si>
    <t>Royal</t>
  </si>
  <si>
    <t>Polvo para hornear</t>
  </si>
  <si>
    <t>Relleno Mora Azul</t>
  </si>
  <si>
    <t>Relleno Mora Azul Premium American Donut</t>
  </si>
  <si>
    <t>Bicarbonato</t>
  </si>
  <si>
    <t>Casa Ley</t>
  </si>
  <si>
    <t>Ley</t>
  </si>
  <si>
    <t>Kiwi</t>
  </si>
  <si>
    <t>Uva</t>
  </si>
  <si>
    <t>Casa Estampa</t>
  </si>
  <si>
    <t>Liston Palmita</t>
  </si>
  <si>
    <t>Liston con Logo Dolce palmita algodón 150 metros</t>
  </si>
  <si>
    <t>Comercializadora Beili</t>
  </si>
  <si>
    <t>Beili</t>
  </si>
  <si>
    <t>Coco Rallado</t>
  </si>
  <si>
    <t>AL-2923</t>
  </si>
  <si>
    <t>Domo 3 Leches</t>
  </si>
  <si>
    <t>Domo 3 Leches Mediano Tapa y Charola</t>
  </si>
  <si>
    <t>Charola 3 Leches</t>
  </si>
  <si>
    <t>Charola 3 Leches Mediano</t>
  </si>
  <si>
    <t>Nuez Granillo</t>
  </si>
  <si>
    <t>Nuez Picada</t>
  </si>
  <si>
    <t>Centro Mercado Gve</t>
  </si>
  <si>
    <t>Avena</t>
  </si>
  <si>
    <t>Arándanos</t>
  </si>
  <si>
    <t>Dátil</t>
  </si>
  <si>
    <t>Galleta Molida Lotus</t>
  </si>
  <si>
    <t>Galleta Lotus</t>
  </si>
  <si>
    <t>Galleta Lotus (barritas, consideradas en kg)</t>
  </si>
  <si>
    <t>Crema Lotus</t>
  </si>
  <si>
    <t>Crema Lotus 8 KG</t>
  </si>
  <si>
    <t>Confitados Finos Comercial</t>
  </si>
  <si>
    <t>Confitados</t>
  </si>
  <si>
    <t>B211</t>
  </si>
  <si>
    <t>Azucar Glass</t>
  </si>
  <si>
    <t>Configlass Ref. Bls. 5 kg (Empaque con 9 bolsas c/u 5 kg)</t>
  </si>
  <si>
    <t>Conservas La Costeña</t>
  </si>
  <si>
    <t>Costeña</t>
  </si>
  <si>
    <t>Durazno</t>
  </si>
  <si>
    <t>Durazno en Mitades caja de 12/820 Gr</t>
  </si>
  <si>
    <t>Piña</t>
  </si>
  <si>
    <t>Piña en trocitos cada de 6/3 KG</t>
  </si>
  <si>
    <t>Guayaba</t>
  </si>
  <si>
    <t>Guayabas enteras en almibar cj de 12/800 Gr</t>
  </si>
  <si>
    <t>Cocktail de Frutas</t>
  </si>
  <si>
    <t>Cocktel de Frutas 1/850 Gr (12 pzs)</t>
  </si>
  <si>
    <t>Corrufacil</t>
  </si>
  <si>
    <t>Porta Vasos</t>
  </si>
  <si>
    <t>Porta Vasos 4 cavidades</t>
  </si>
  <si>
    <t>Capacillo Mini #72</t>
  </si>
  <si>
    <t>Capacillo #72 Rosa C/10,000 pzs</t>
  </si>
  <si>
    <t>T-CP047-74</t>
  </si>
  <si>
    <t>Capacillo</t>
  </si>
  <si>
    <t>Capacillo #74 Rosa C/10,000 pzs</t>
  </si>
  <si>
    <t>1PZcupcake</t>
  </si>
  <si>
    <t>2PZ cupcake</t>
  </si>
  <si>
    <t>4PZCupcake</t>
  </si>
  <si>
    <t>6PZ cupcake</t>
  </si>
  <si>
    <t>12PZ cupcake</t>
  </si>
  <si>
    <t>COSTCO</t>
  </si>
  <si>
    <t>Costco</t>
  </si>
  <si>
    <t>Crunch Barra</t>
  </si>
  <si>
    <t>Crunch en barra paquete de 16 pz</t>
  </si>
  <si>
    <t>Azucar Mascabado</t>
  </si>
  <si>
    <t>Sin Clave</t>
  </si>
  <si>
    <t>Harina Brownie</t>
  </si>
  <si>
    <t>Caja de harina para brownies (2.26 kg empaque con 4 costales)</t>
  </si>
  <si>
    <t>Almendra</t>
  </si>
  <si>
    <t>Almendra fileteada 0.906 KG</t>
  </si>
  <si>
    <t>Cremería  Junior</t>
  </si>
  <si>
    <t>Cremería Junior</t>
  </si>
  <si>
    <t>Huevo</t>
  </si>
  <si>
    <t>Cartera Huevo</t>
  </si>
  <si>
    <t>Dawn</t>
  </si>
  <si>
    <t>Especial Devils</t>
  </si>
  <si>
    <t>PST BS DELUXE DEVILS FOO (saco de 22.68kg)</t>
  </si>
  <si>
    <t>Deleite Chocolate</t>
  </si>
  <si>
    <t>LINEA DELEITE CHOCOLATE CREME CAKE</t>
  </si>
  <si>
    <t>Devils Chocolate</t>
  </si>
  <si>
    <t>RICHCRM CHOC CK BS (saco de 22.68 kg)</t>
  </si>
  <si>
    <t>Vainilla Dawn</t>
  </si>
  <si>
    <t>DAWN Cake BS Cream Spec</t>
  </si>
  <si>
    <t>Dona Dawn</t>
  </si>
  <si>
    <t>Glaseado</t>
  </si>
  <si>
    <t>Distribuciones Santa Cruz</t>
  </si>
  <si>
    <t>Mantequilla Flex</t>
  </si>
  <si>
    <t>Relleno Manzana</t>
  </si>
  <si>
    <t>Relleno de manzana F. Fillinf Cub/37 LBX</t>
  </si>
  <si>
    <t>Dulceria Yoli</t>
  </si>
  <si>
    <t>Yoli</t>
  </si>
  <si>
    <t>Colorante Mermelada Rojo</t>
  </si>
  <si>
    <t>Colorante rojo</t>
  </si>
  <si>
    <t>Ácido Cítrico</t>
  </si>
  <si>
    <t>Ácido cítrico</t>
  </si>
  <si>
    <t>Cuchara Rebanada</t>
  </si>
  <si>
    <t>Fantasy Cuchara Fantasy Chica</t>
  </si>
  <si>
    <t>Cuchara Fresas</t>
  </si>
  <si>
    <t>Fantasy Cuchara Coctelera</t>
  </si>
  <si>
    <t>Tapa Vasos Domo</t>
  </si>
  <si>
    <t>Tapadera hueca para vasos con crema</t>
  </si>
  <si>
    <t>BolsaCamisetaReb</t>
  </si>
  <si>
    <t>Anguiano Bolsa Camiseta Chica</t>
  </si>
  <si>
    <t>ENCO</t>
  </si>
  <si>
    <t>Polvo de Merengue</t>
  </si>
  <si>
    <t>Etiquetas Gráficas</t>
  </si>
  <si>
    <t>Etiquetas</t>
  </si>
  <si>
    <t>EtiquetaGrande</t>
  </si>
  <si>
    <t>Etiqueta Grande</t>
  </si>
  <si>
    <t>Etiqueta Aviso</t>
  </si>
  <si>
    <t xml:space="preserve">Etiqueta Aviso </t>
  </si>
  <si>
    <t>Etiqueta Cuadrada</t>
  </si>
  <si>
    <t>Etiqueta Cuadrada Celebrando Dulces Momentos</t>
  </si>
  <si>
    <t>EtiquetaChica</t>
  </si>
  <si>
    <t>Etiqueta Chica</t>
  </si>
  <si>
    <t>ENVAI</t>
  </si>
  <si>
    <t>PapelCliche</t>
  </si>
  <si>
    <t xml:space="preserve">Papel Cliché 1 millar </t>
  </si>
  <si>
    <t>Fruteria ROLU'S</t>
  </si>
  <si>
    <t>Plátano</t>
  </si>
  <si>
    <t>Zanahoria</t>
  </si>
  <si>
    <t>FOODSERVICE</t>
  </si>
  <si>
    <t>FoodService</t>
  </si>
  <si>
    <t>Vainilla</t>
  </si>
  <si>
    <t>Vainilla Molina 4/400 ML</t>
  </si>
  <si>
    <t>La Lechera</t>
  </si>
  <si>
    <t>La Lechera Institucional 25.5 KG</t>
  </si>
  <si>
    <t>Leche Evaporada</t>
  </si>
  <si>
    <t>Dulce de Leche</t>
  </si>
  <si>
    <t>Nestlé La Lechera Dulce de Leche 4x4.5 kg</t>
  </si>
  <si>
    <t>Crunch Trozos</t>
  </si>
  <si>
    <t>Crunch Chocolate Trozos 9 KG</t>
  </si>
  <si>
    <t>Chocolate Semiamargo</t>
  </si>
  <si>
    <t>Confitier Semiamargo 16 KG</t>
  </si>
  <si>
    <t>Crunch Rocks</t>
  </si>
  <si>
    <t>Crunch Rocks Chocolate Bolsa 4x2.5kg Caja</t>
  </si>
  <si>
    <t>Nescafe Clasico</t>
  </si>
  <si>
    <t>Nescafe Clásico en lata 4 de 1Kg cada uno</t>
  </si>
  <si>
    <t>Hielo y Agua Mar de Cortéz</t>
  </si>
  <si>
    <t>Agua</t>
  </si>
  <si>
    <t>Agua Purificada</t>
  </si>
  <si>
    <t>Garrafón de agua purificado de 19 litros</t>
  </si>
  <si>
    <t>Industrias LEC</t>
  </si>
  <si>
    <t>LEC</t>
  </si>
  <si>
    <t>Caja Cartón Pastel Gde</t>
  </si>
  <si>
    <t>Cajas de cartón (tamaño grande)</t>
  </si>
  <si>
    <t>Caja Cartón Pastel Ch</t>
  </si>
  <si>
    <t>Cajas de cartón con logo (tamaño chico)</t>
  </si>
  <si>
    <t>Ley Mayoreo</t>
  </si>
  <si>
    <t>LeyM</t>
  </si>
  <si>
    <t>Miel Karo</t>
  </si>
  <si>
    <t>Miel Karo (500 ml)</t>
  </si>
  <si>
    <t>Vinagre de Manzana</t>
  </si>
  <si>
    <t>Vinagre de manzana 500 ml</t>
  </si>
  <si>
    <t>Zuko</t>
  </si>
  <si>
    <t>Zuko sabor fresa</t>
  </si>
  <si>
    <t>Materias Primas del Pacífico</t>
  </si>
  <si>
    <t>Materias Primas</t>
  </si>
  <si>
    <t>Chocolate Blanco Turin</t>
  </si>
  <si>
    <t>Turin Chocolate Blanco 1 KG</t>
  </si>
  <si>
    <t>Harina Espiga</t>
  </si>
  <si>
    <t>Saco de harina espiga cremoso vainilla de 20 kg</t>
  </si>
  <si>
    <t>Almidón</t>
  </si>
  <si>
    <t>Saco de fécula de maíz IMSA C/25KG</t>
  </si>
  <si>
    <t>Base Chantilly</t>
  </si>
  <si>
    <t>Galon de Whipn Top</t>
  </si>
  <si>
    <t>Gragea Granillo Colores</t>
  </si>
  <si>
    <t xml:space="preserve">Gragea Granillo Colores </t>
  </si>
  <si>
    <t>Molinera de Fuerte</t>
  </si>
  <si>
    <t>Molinera</t>
  </si>
  <si>
    <t>Harina</t>
  </si>
  <si>
    <t xml:space="preserve">PQTES. Harina Trigo Nevada (paquete con 10 kg) Poliet </t>
  </si>
  <si>
    <t>INIX</t>
  </si>
  <si>
    <t>BD1268</t>
  </si>
  <si>
    <t>Domo Pay G</t>
  </si>
  <si>
    <t>Empaque pay grande</t>
  </si>
  <si>
    <t>C2525-33</t>
  </si>
  <si>
    <t>Domo Pay Ch</t>
  </si>
  <si>
    <t>Empaque pay chico</t>
  </si>
  <si>
    <t>AL-28</t>
  </si>
  <si>
    <t>Alumino Pay G</t>
  </si>
  <si>
    <t>Aluminio pay grande</t>
  </si>
  <si>
    <t>AL-22</t>
  </si>
  <si>
    <t>Aluminio Pay Ch</t>
  </si>
  <si>
    <t>Aluminio pay chico</t>
  </si>
  <si>
    <t>RP25</t>
  </si>
  <si>
    <t>Rebanada Pay RP25</t>
  </si>
  <si>
    <t>Rebanada de pie</t>
  </si>
  <si>
    <t>Rebanada Pastel 1414</t>
  </si>
  <si>
    <t>Rebanada de pastel</t>
  </si>
  <si>
    <t>1414D</t>
  </si>
  <si>
    <t>Domo Cuadrado Chico</t>
  </si>
  <si>
    <t>Empaque cuadrado (brownie)</t>
  </si>
  <si>
    <t>M2416</t>
  </si>
  <si>
    <t>Domo Bollo 6 Piezas</t>
  </si>
  <si>
    <t>Bollos (capacidad de 6)</t>
  </si>
  <si>
    <t>C105-45</t>
  </si>
  <si>
    <t>Domo Mediano C105</t>
  </si>
  <si>
    <t>Contenedor tipo domo pastel chico (alto)</t>
  </si>
  <si>
    <t>Domo Grande Rectangular</t>
  </si>
  <si>
    <t>Caja para empanadas</t>
  </si>
  <si>
    <t>P12N</t>
  </si>
  <si>
    <t>Domo Invidivual</t>
  </si>
  <si>
    <t>Contenedor tipo domo p/mini-pastel (presentación individual)</t>
  </si>
  <si>
    <t>C85-45</t>
  </si>
  <si>
    <t>Domo Chico C85</t>
  </si>
  <si>
    <t>Plato y domo para pastel Mini (chico)</t>
  </si>
  <si>
    <t>CH-14</t>
  </si>
  <si>
    <t>Charola 14 Pastel Grande</t>
  </si>
  <si>
    <t>AD-1310-300</t>
  </si>
  <si>
    <t>Molde 3 Leches Individual</t>
  </si>
  <si>
    <t>C15N</t>
  </si>
  <si>
    <t>Domo Mini C15N</t>
  </si>
  <si>
    <t>AL-1310</t>
  </si>
  <si>
    <t>Domo 3 Leches Individual</t>
  </si>
  <si>
    <t>Sam's</t>
  </si>
  <si>
    <t>Polvo Dream Whip</t>
  </si>
  <si>
    <t>Sustituto de Crema para Café (1 costal de 10 kg)</t>
  </si>
  <si>
    <t>Chocolate Snicker's</t>
  </si>
  <si>
    <t>Canela</t>
  </si>
  <si>
    <t>Canela (400 g)</t>
  </si>
  <si>
    <t>Bactericida</t>
  </si>
  <si>
    <t>Ciruela</t>
  </si>
  <si>
    <t>Ciruela 1.13 kg/bolsa</t>
  </si>
  <si>
    <t>Azucar Refinada</t>
  </si>
  <si>
    <t>Nutella</t>
  </si>
  <si>
    <t>Chocolate Muibon 46 pz (cont neto .966 kg)</t>
  </si>
  <si>
    <t>Datil Jeque</t>
  </si>
  <si>
    <t>MM MIX 322B1 Pilas</t>
  </si>
  <si>
    <t>210 Bolsas de basura</t>
  </si>
  <si>
    <t>Rollos Toalla</t>
  </si>
  <si>
    <t>100 Bolsa de basura</t>
  </si>
  <si>
    <t>8 piezas de cintas adhesivas</t>
  </si>
  <si>
    <t>Pinol memories</t>
  </si>
  <si>
    <t>Power Clean</t>
  </si>
  <si>
    <t>Suavel 40/240 Papel de baño</t>
  </si>
  <si>
    <t>6PK Zote Ros (Jabon Pastilla)</t>
  </si>
  <si>
    <t>Galleta Ritz</t>
  </si>
  <si>
    <t>Galletas Ritz Saladas 1602 g</t>
  </si>
  <si>
    <t>Mermelada de Fresa</t>
  </si>
  <si>
    <t>Mermelada Member's Mark Fresa 1.20 KG</t>
  </si>
  <si>
    <t>MilkyWay</t>
  </si>
  <si>
    <t>Chocolate Milky Way paquete con 6 barras de 52.3 gr c/u</t>
  </si>
  <si>
    <t>Sal</t>
  </si>
  <si>
    <t>Sal en costalito de 1 kg</t>
  </si>
  <si>
    <t>Licor43</t>
  </si>
  <si>
    <t>Licor 43 700ml</t>
  </si>
  <si>
    <t>Calahua</t>
  </si>
  <si>
    <t>Calahua Crema de Coco 6 piezas 1L c/u</t>
  </si>
  <si>
    <t>Pan de Muerto</t>
  </si>
  <si>
    <t>SIGMA</t>
  </si>
  <si>
    <t>Queso Crema</t>
  </si>
  <si>
    <t>Queso Crema (cartón con 8 kg)</t>
  </si>
  <si>
    <t>Mantequilla</t>
  </si>
  <si>
    <t xml:space="preserve">Mantequilla Eugenia (paquete 5 kg) </t>
  </si>
  <si>
    <t>Margarina</t>
  </si>
  <si>
    <t>Margarina Multiusos (paquete con 10 barras de 1 kg)</t>
  </si>
  <si>
    <t>Cocoa</t>
  </si>
  <si>
    <t>Hershey Unsweetened Coca Powder Costal 5 kg</t>
  </si>
  <si>
    <t>Oreo Trozos</t>
  </si>
  <si>
    <t>Oreo galleta base sin relleno</t>
  </si>
  <si>
    <t>Oreo Sandwich</t>
  </si>
  <si>
    <t>Oro galleta Sandiwch con relleno</t>
  </si>
  <si>
    <t>Chispas de Chocolate</t>
  </si>
  <si>
    <t>Chispas de Chocolate Semi Amargo</t>
  </si>
  <si>
    <t>Manteca</t>
  </si>
  <si>
    <t>Pollyanas Dolce</t>
  </si>
  <si>
    <t>Chocolate Original</t>
  </si>
  <si>
    <t>Chocolate Original Precio por Kg</t>
  </si>
  <si>
    <t>Presidente</t>
  </si>
  <si>
    <t>Licor Presidente Brandy de 940 ml</t>
  </si>
  <si>
    <t>Manga 26 cm</t>
  </si>
  <si>
    <t>Liga No10</t>
  </si>
  <si>
    <t>Liga No10 Colores</t>
  </si>
  <si>
    <t>Desechable 8oz</t>
  </si>
  <si>
    <t>MexCup</t>
  </si>
  <si>
    <t>Vaso9oz</t>
  </si>
  <si>
    <t>Vaso9ozMC</t>
  </si>
  <si>
    <t>Vaso12oz</t>
  </si>
  <si>
    <t>Vaso12ozMC</t>
  </si>
  <si>
    <t>Betún de Chocolate Original Dolce</t>
  </si>
  <si>
    <t>Ingredientes</t>
  </si>
  <si>
    <t>Batida</t>
  </si>
  <si>
    <t>$/KG</t>
  </si>
  <si>
    <t>Costo Total</t>
  </si>
  <si>
    <t>Dream Whip</t>
  </si>
  <si>
    <t>Betún de Mantequilla</t>
  </si>
  <si>
    <t>Mezcla 3 Leches</t>
  </si>
  <si>
    <t>$/LT</t>
  </si>
  <si>
    <t>Crema Pastelera</t>
  </si>
  <si>
    <t xml:space="preserve"> </t>
  </si>
  <si>
    <t>Cobertura Crunch</t>
  </si>
  <si>
    <t>Mermelada de Manzana</t>
  </si>
  <si>
    <t>Mermelada Fresa</t>
  </si>
  <si>
    <t xml:space="preserve">Batida crema para fresas </t>
  </si>
  <si>
    <t>x</t>
  </si>
  <si>
    <t>Dream Whip Con Lotus</t>
  </si>
  <si>
    <t>$/KG con Lotus</t>
  </si>
  <si>
    <t>Betún de Chocolate Azúcar Glass</t>
  </si>
  <si>
    <t>Mezcla 3 Leches Lotus</t>
  </si>
  <si>
    <t>Masa Base Pay</t>
  </si>
  <si>
    <t>Total Peso</t>
  </si>
  <si>
    <t>Costo/KG</t>
  </si>
  <si>
    <t>Batida Queso Pay</t>
  </si>
  <si>
    <t>Total Batida</t>
  </si>
  <si>
    <t>Galleta Para Pay</t>
  </si>
  <si>
    <t>Galleta con Nuez</t>
  </si>
  <si>
    <t>Batida Queso Limón</t>
  </si>
  <si>
    <t>Pay Limón</t>
  </si>
  <si>
    <t>Elemento</t>
  </si>
  <si>
    <t>Mini</t>
  </si>
  <si>
    <t>Chico</t>
  </si>
  <si>
    <t>Mediano</t>
  </si>
  <si>
    <t>Grande</t>
  </si>
  <si>
    <t>Bollos</t>
  </si>
  <si>
    <t>Individual</t>
  </si>
  <si>
    <t>Media Plancha</t>
  </si>
  <si>
    <t>Costos por pan</t>
  </si>
  <si>
    <t>Peso/Molde</t>
  </si>
  <si>
    <t>Cantidad Piezas en Pan</t>
  </si>
  <si>
    <t>Costo Pastel Por Tamaño</t>
  </si>
  <si>
    <t>Cantidad en Pasteles</t>
  </si>
  <si>
    <t>Jugo Limón</t>
  </si>
  <si>
    <t>Grenetina</t>
  </si>
  <si>
    <t>Pan de Zanahoria</t>
  </si>
  <si>
    <t>Pan de Vainilla Espiga</t>
  </si>
  <si>
    <t> </t>
  </si>
  <si>
    <t>Pan de Chocolate Deleite Dawn</t>
  </si>
  <si>
    <t>Flan 3 Pecados</t>
  </si>
  <si>
    <t>Pan 3 Leches</t>
  </si>
  <si>
    <t>Pan Vainilla Dawn</t>
  </si>
  <si>
    <t>Pan de Red Velvet</t>
  </si>
  <si>
    <t>Pan Lotus</t>
  </si>
  <si>
    <t xml:space="preserve">Pan Lotus			</t>
  </si>
  <si>
    <t>Rosca Lotus</t>
  </si>
  <si>
    <t>Crema Fresas</t>
  </si>
  <si>
    <t>Brownie</t>
  </si>
  <si>
    <t>Pan Brownie</t>
  </si>
  <si>
    <t>PZA</t>
  </si>
  <si>
    <t>Pan de Brownie</t>
  </si>
  <si>
    <t>Pastel</t>
  </si>
  <si>
    <t>Rebanada Pastel</t>
  </si>
  <si>
    <t>Bollo</t>
  </si>
  <si>
    <t>3 Leches</t>
  </si>
  <si>
    <t>Individual 3 Leches</t>
  </si>
  <si>
    <t>Rebanada Pay</t>
  </si>
  <si>
    <t>Servilleta</t>
  </si>
  <si>
    <t>BolsaKraftPersonalizada</t>
  </si>
  <si>
    <t>Empaques Rosas</t>
  </si>
  <si>
    <t>Cálculo costo empaques (cartón rosa)</t>
  </si>
  <si>
    <t>Cantidad (para bollitos)</t>
  </si>
  <si>
    <t>Proporción Ventas</t>
  </si>
  <si>
    <t>Costo/PZ</t>
  </si>
  <si>
    <t>Rebanada</t>
  </si>
  <si>
    <t>Pay</t>
  </si>
  <si>
    <t>Galleta con cajeta</t>
  </si>
  <si>
    <t>Oreo</t>
  </si>
  <si>
    <t>Pay horneado</t>
  </si>
  <si>
    <t>Pay de queso</t>
  </si>
  <si>
    <t>Fresas con Crema</t>
  </si>
  <si>
    <t>3 Pecados</t>
  </si>
  <si>
    <t>Chocolate</t>
  </si>
  <si>
    <t>Crunch</t>
  </si>
  <si>
    <t>Snicker's</t>
  </si>
  <si>
    <t>3 Leches Lotus</t>
  </si>
  <si>
    <t>Flan</t>
  </si>
  <si>
    <t>Vasos</t>
  </si>
  <si>
    <t>Fresas con crema</t>
  </si>
  <si>
    <t>Fresas con pay</t>
  </si>
  <si>
    <t>Crema</t>
  </si>
  <si>
    <t>Red Velvet</t>
  </si>
  <si>
    <t>Lotus</t>
  </si>
  <si>
    <t>Cheesecake</t>
  </si>
  <si>
    <t>Tortuga</t>
  </si>
  <si>
    <t>Promedio</t>
  </si>
  <si>
    <t>Empanadas</t>
  </si>
  <si>
    <t>Pendiente de Verificar</t>
  </si>
  <si>
    <t>El total que llevaría por todas las piezas que salen de la masa</t>
  </si>
  <si>
    <t>Total</t>
  </si>
  <si>
    <t>Rendimiento Individuales</t>
  </si>
  <si>
    <t>La cantidad de lo que las dos galletas más relleno, coco y azúcar glass</t>
  </si>
  <si>
    <t>Pan de la Casa</t>
  </si>
  <si>
    <t>Sub total</t>
  </si>
  <si>
    <t>Empaque</t>
  </si>
  <si>
    <t>Presentación</t>
  </si>
  <si>
    <t>Insumo</t>
  </si>
  <si>
    <t>Betún de Azúcar Glass Chocolate</t>
  </si>
  <si>
    <t xml:space="preserve">Brownie </t>
  </si>
  <si>
    <t>1/2 Plancha</t>
  </si>
  <si>
    <t>Betún Azúcar Glass Chocolate</t>
  </si>
  <si>
    <t>Cobertura</t>
  </si>
  <si>
    <t>Crema de Lotus</t>
  </si>
  <si>
    <t>Interior</t>
  </si>
  <si>
    <t>Decorado</t>
  </si>
  <si>
    <t>Total por decorar</t>
  </si>
  <si>
    <t>Subtotal 1</t>
  </si>
  <si>
    <t>Crema lotus</t>
  </si>
  <si>
    <t>Exterior</t>
  </si>
  <si>
    <t>Relleno </t>
  </si>
  <si>
    <t>Total Fresa</t>
  </si>
  <si>
    <t>1 Masa 4 cuadros</t>
  </si>
  <si>
    <t>Cada cuadro 4 tiras</t>
  </si>
  <si>
    <t>1 Tira 27 empanadas</t>
  </si>
  <si>
    <t>Servicios y merma</t>
  </si>
  <si>
    <t>Total KG</t>
  </si>
  <si>
    <t>Margen deseado</t>
  </si>
  <si>
    <t>Piezas</t>
  </si>
  <si>
    <t>Gragea</t>
  </si>
  <si>
    <t>/kg de harina</t>
  </si>
  <si>
    <t>Betún dream whip</t>
  </si>
  <si>
    <t>En Pan</t>
  </si>
  <si>
    <t>KG/Batida</t>
  </si>
  <si>
    <t>En Exterior</t>
  </si>
  <si>
    <t>KG harina Dawn</t>
  </si>
  <si>
    <t>En Relleno</t>
  </si>
  <si>
    <t>Galleta Pay</t>
  </si>
  <si>
    <t>KG Gragea/KG batida</t>
  </si>
  <si>
    <t>Betún relleno</t>
  </si>
  <si>
    <t>Betún Cobertura</t>
  </si>
  <si>
    <t>Galleta para Pay</t>
  </si>
  <si>
    <t>Pan Superior</t>
  </si>
  <si>
    <t>Relleno</t>
  </si>
  <si>
    <t>Navideño Vainilla</t>
  </si>
  <si>
    <t>Navideño Chocolate</t>
  </si>
  <si>
    <t>Cantidades de insumo (kg)</t>
  </si>
  <si>
    <t>Betún de Chocolate</t>
  </si>
  <si>
    <t>Grageas</t>
  </si>
  <si>
    <t>Gragea Pride</t>
  </si>
  <si>
    <t>Pan</t>
  </si>
  <si>
    <t>Betún</t>
  </si>
  <si>
    <t>Decorado 1</t>
  </si>
  <si>
    <t>Decorado 2</t>
  </si>
  <si>
    <t>Decorado 3</t>
  </si>
  <si>
    <t>Presentanción</t>
  </si>
  <si>
    <t>Subtotal 2</t>
  </si>
  <si>
    <t>Cheesecake Lotus</t>
  </si>
  <si>
    <t>Cheesecake Tortuga</t>
  </si>
  <si>
    <t>Cheesecake Brownie</t>
  </si>
  <si>
    <t>Cheesecake Zarzamora</t>
  </si>
  <si>
    <t>Galleta pay</t>
  </si>
  <si>
    <t>Cobertura 3 Pecados</t>
  </si>
  <si>
    <t>Empaques</t>
  </si>
  <si>
    <t>Subtotal</t>
  </si>
  <si>
    <t>Servicios</t>
  </si>
  <si>
    <t>Margen</t>
  </si>
  <si>
    <t>Base</t>
  </si>
  <si>
    <t>Base Galleta</t>
  </si>
  <si>
    <t>Presentación y Empaque</t>
  </si>
  <si>
    <t>Batida Queso</t>
  </si>
  <si>
    <t>Galleta</t>
  </si>
  <si>
    <t>Mermelada</t>
  </si>
  <si>
    <t>Guayaba en álmibar</t>
  </si>
  <si>
    <t>Manzana</t>
  </si>
  <si>
    <t>Mermelada Manzana</t>
  </si>
  <si>
    <t>Resumen Costeo</t>
  </si>
  <si>
    <t>Sabor</t>
  </si>
  <si>
    <t>Inidividual</t>
  </si>
  <si>
    <t>Insumos</t>
  </si>
  <si>
    <t>Insumo preparado</t>
  </si>
  <si>
    <t>Fresa Fresca</t>
  </si>
  <si>
    <t>Lotus/Pz</t>
  </si>
  <si>
    <t>Paq</t>
  </si>
  <si>
    <t>Paquete</t>
  </si>
  <si>
    <t>Chocolate Blanco</t>
  </si>
  <si>
    <t>Galletas</t>
  </si>
  <si>
    <t>Costo Insumo</t>
  </si>
  <si>
    <t>Precio de Venta</t>
  </si>
  <si>
    <t>gramos</t>
  </si>
  <si>
    <t>galletas</t>
  </si>
  <si>
    <t>Merma</t>
  </si>
  <si>
    <t>Bollo Lotus</t>
  </si>
  <si>
    <t>Margen de Venta</t>
  </si>
  <si>
    <t>Bolitas de Nuez</t>
  </si>
  <si>
    <t>Galleta Lotus - Receta</t>
  </si>
  <si>
    <t>1 entero y 1 yema</t>
  </si>
  <si>
    <t>Peso masa</t>
  </si>
  <si>
    <t>Número de galletas</t>
  </si>
  <si>
    <t>Decoración por pieza</t>
  </si>
  <si>
    <t>Costo/Pz</t>
  </si>
  <si>
    <t>Galleta Relleno de Nutella</t>
  </si>
  <si>
    <t>Rendimiento</t>
  </si>
  <si>
    <t>GR/PZ</t>
  </si>
  <si>
    <t>Galleta Relleno de Dulce de Leche</t>
  </si>
  <si>
    <t>Dulce de leche</t>
  </si>
  <si>
    <t>Galleta de Oreo</t>
  </si>
  <si>
    <t>Galleta de Chispas de Chocolate</t>
  </si>
  <si>
    <t>Precios</t>
  </si>
  <si>
    <t>P/U</t>
  </si>
  <si>
    <t>Kinder Bueno</t>
  </si>
  <si>
    <t>Kit kat</t>
  </si>
  <si>
    <t>Snicker Mini</t>
  </si>
  <si>
    <t>Hersheys Miniatura</t>
  </si>
  <si>
    <t>Baño de 3 Leches</t>
  </si>
  <si>
    <t>Baño 2 panes</t>
  </si>
  <si>
    <t>Pan Chocolate</t>
  </si>
  <si>
    <t>Pan Vainilla</t>
  </si>
  <si>
    <t>Bañado</t>
  </si>
  <si>
    <t>Ganach Chocolate</t>
  </si>
  <si>
    <t>Pan Zanahoria</t>
  </si>
  <si>
    <t>Nuez</t>
  </si>
  <si>
    <t>Bañado 3 Leches</t>
  </si>
  <si>
    <t>Bañado de 3 Leches Lotus</t>
  </si>
  <si>
    <t>Bañado de 3 Leches</t>
  </si>
  <si>
    <t>Betún Chocolate Azúcar Glass</t>
  </si>
  <si>
    <t>Pan Chocolate Deleite</t>
  </si>
  <si>
    <t>Ganache Crunch</t>
  </si>
  <si>
    <t>Trozos Crunch</t>
  </si>
  <si>
    <t>Total Snicker's</t>
  </si>
  <si>
    <t>Betún Snicker's</t>
  </si>
  <si>
    <t>Betún Chocolate Snicker's</t>
  </si>
  <si>
    <t>Betún Chocolate Original</t>
  </si>
  <si>
    <t>Confirmación si es con todo y chopos</t>
  </si>
  <si>
    <t>Revisar si es lo que lleva de grageas</t>
  </si>
  <si>
    <t>Agregar las cantidades de betún y relleno</t>
  </si>
  <si>
    <t>Decorado Pan</t>
  </si>
  <si>
    <t>Chocolate Relleno</t>
  </si>
  <si>
    <t>Decorado de Pan</t>
  </si>
  <si>
    <t>En caso de no llevar ningun otro relleno ingnorar este punto</t>
  </si>
  <si>
    <t>Se requiere ligar el insumo para multiplicar el costo por la cantidad resultante</t>
  </si>
  <si>
    <t>Almendra Fileteada</t>
  </si>
  <si>
    <t>Confetti</t>
  </si>
  <si>
    <t>Paquetes</t>
  </si>
  <si>
    <t>Costo Unitario</t>
  </si>
  <si>
    <t>Proyectado</t>
  </si>
  <si>
    <t>Blanco (vainilla o azucar el que se venda) Para Pintar</t>
  </si>
  <si>
    <t>Blanco (vainilla o azucar el que se venda)</t>
  </si>
  <si>
    <t>Vela Palillo Globo</t>
  </si>
  <si>
    <t>Pastel Vainilla Mediano</t>
  </si>
  <si>
    <t>Revisar cantidad de dulce de leche</t>
  </si>
  <si>
    <t>Cantidad de gragea</t>
  </si>
  <si>
    <t>Cantidad de globos/pastel</t>
  </si>
  <si>
    <t>Muñeco Rosca</t>
  </si>
  <si>
    <t>Dulce Leche</t>
  </si>
  <si>
    <t>Chocolate Muibon</t>
  </si>
  <si>
    <t>Betún Mantequilla</t>
  </si>
  <si>
    <t>Niño Dios</t>
  </si>
  <si>
    <t>Costo Insumos</t>
  </si>
  <si>
    <t>Por producir</t>
  </si>
  <si>
    <t>Mezcla con Gragea</t>
  </si>
  <si>
    <t>X</t>
  </si>
  <si>
    <t>% Costo sobre PV</t>
  </si>
  <si>
    <t>Globo Vela Regalo</t>
  </si>
  <si>
    <t>Galleta de Chispas de Red Velvet</t>
  </si>
  <si>
    <t>Pan Vainilla Dawn Arándano</t>
  </si>
  <si>
    <t>Arandano</t>
  </si>
  <si>
    <t>Arandano KG</t>
  </si>
  <si>
    <t>Mermeladada/KG</t>
  </si>
  <si>
    <t>Mermelada de Arándano</t>
  </si>
  <si>
    <t>dreamw-arandano</t>
  </si>
  <si>
    <t>rinde</t>
  </si>
  <si>
    <t>kg arandano</t>
  </si>
  <si>
    <t>kg dw</t>
  </si>
  <si>
    <t>Betún de Chocolate Mantequilla</t>
  </si>
  <si>
    <t>Fresa Crema Galleta</t>
  </si>
  <si>
    <t>Hojaldre</t>
  </si>
  <si>
    <t>Bisagra Bollo 4 Piezas</t>
  </si>
  <si>
    <t>Bisagra para bollos de 4 piezas</t>
  </si>
  <si>
    <t>Precio Ajustado</t>
  </si>
  <si>
    <t>Mejor margen</t>
  </si>
  <si>
    <t>Buen margen</t>
  </si>
  <si>
    <t>Mínimo de margen</t>
  </si>
  <si>
    <t>Costo Extra</t>
  </si>
  <si>
    <t>Costo normal</t>
  </si>
  <si>
    <t xml:space="preserve">Cantidad </t>
  </si>
  <si>
    <t>Costo/LT</t>
  </si>
  <si>
    <t>subtotal 2 16/07/25</t>
  </si>
  <si>
    <t>Dream Whip Pay</t>
  </si>
  <si>
    <t>1 batida mediano</t>
  </si>
  <si>
    <t>Cheesecake Limón</t>
  </si>
  <si>
    <t>Crema Limón</t>
  </si>
  <si>
    <t>Limón</t>
  </si>
  <si>
    <t>Mini Individdual</t>
  </si>
  <si>
    <t>Proveedor</t>
  </si>
  <si>
    <t>Peso Total</t>
  </si>
  <si>
    <t>Mezca</t>
  </si>
  <si>
    <t>Zarzamora</t>
  </si>
  <si>
    <t>Cinnamon</t>
  </si>
  <si>
    <t>Caja Cheesecake Grande</t>
  </si>
  <si>
    <t>Caja Cheesecake Chica</t>
  </si>
  <si>
    <t>Cheesecake Mediano</t>
  </si>
  <si>
    <t>Cheesecake Chico</t>
  </si>
  <si>
    <t>Base Cheesecacke Grande</t>
  </si>
  <si>
    <t>Base Cheesecake Chica</t>
  </si>
  <si>
    <t>Precio Mín Sugerido</t>
  </si>
  <si>
    <t>Costo Vs Precio Venta</t>
  </si>
  <si>
    <t>Separado</t>
  </si>
  <si>
    <t>Crumble Zanahoria</t>
  </si>
  <si>
    <t>1KG</t>
  </si>
  <si>
    <t>Flan 3 Caramelo</t>
  </si>
  <si>
    <t>Galleta Para Pay con Nuez</t>
  </si>
  <si>
    <t>Lt</t>
  </si>
  <si>
    <t>Flan Caramelo</t>
  </si>
  <si>
    <t>en pay mediano se suponía que era .650 y en grande 1.200 lt.</t>
  </si>
  <si>
    <t>Masa Base Pay con Nuez</t>
  </si>
  <si>
    <t>Galleta de Dulce de Leche</t>
  </si>
  <si>
    <t>Pan Vainilla Dawn con Lotus</t>
  </si>
  <si>
    <t xml:space="preserve">Pan Vainilla Dawn con Lotus	</t>
  </si>
  <si>
    <t>Crumble</t>
  </si>
  <si>
    <t>subtotal 3 24/08/25</t>
  </si>
  <si>
    <t>Lados</t>
  </si>
  <si>
    <t>Superior</t>
  </si>
  <si>
    <t>Sub-producto</t>
  </si>
  <si>
    <t>Presentación de Sub-producto</t>
  </si>
  <si>
    <t>Precio Sugerido Venta al Público</t>
  </si>
  <si>
    <t>Precio Sugerido Venta a Mayoreo</t>
  </si>
  <si>
    <t>Pay de Queso</t>
  </si>
  <si>
    <t>Descuento</t>
  </si>
  <si>
    <t>Consumo</t>
  </si>
  <si>
    <t>$1,000-$1,999</t>
  </si>
  <si>
    <t>$2,000-$4,999</t>
  </si>
  <si>
    <t>$5,000-$9,999</t>
  </si>
  <si>
    <t>$10,000 o más</t>
  </si>
  <si>
    <t>3.6-7 tickets</t>
  </si>
  <si>
    <t xml:space="preserve">7-18 tickets </t>
  </si>
  <si>
    <t>18-36 tickets</t>
  </si>
  <si>
    <t>36+ tickets</t>
  </si>
  <si>
    <t>Ticket Promedio</t>
  </si>
  <si>
    <t>Galleta Chipas de Chocolate</t>
  </si>
  <si>
    <t>Galleta Red Velvet</t>
  </si>
  <si>
    <t>Galleta Dulce de Leche</t>
  </si>
  <si>
    <t>Galleta Oreo</t>
  </si>
  <si>
    <t>1 lt = 0.793 kg</t>
  </si>
  <si>
    <t xml:space="preserve">Cubeta </t>
  </si>
  <si>
    <t>Cheesecake Roll de Canela</t>
  </si>
  <si>
    <t>Glaseado Rol de Canela</t>
  </si>
  <si>
    <t>Relleno Cheesecake Canela</t>
  </si>
  <si>
    <t>Base Galleta Cheesecake Rol Canela</t>
  </si>
  <si>
    <t>Domo Cheesecake Individual</t>
  </si>
  <si>
    <t>Cheesecake Individual</t>
  </si>
  <si>
    <t>Para 1 kg batida</t>
  </si>
  <si>
    <t>Precio venta Sugerido</t>
  </si>
  <si>
    <t>Horneado</t>
  </si>
  <si>
    <t>Rol de Canela</t>
  </si>
  <si>
    <t>Bollo Chocolate</t>
  </si>
  <si>
    <t>Bollo Vainilla</t>
  </si>
  <si>
    <t>Bollo Zanahoria</t>
  </si>
  <si>
    <t>Bollo Red Velvet</t>
  </si>
  <si>
    <t>Cheesecake Manzana</t>
  </si>
  <si>
    <t>Levadura</t>
  </si>
  <si>
    <t>Esencia de Naranja</t>
  </si>
  <si>
    <t>Precio Propuesto</t>
  </si>
  <si>
    <t>Fruteria Moreno</t>
  </si>
  <si>
    <t>Vaso16oz</t>
  </si>
  <si>
    <t>Vaso20oz</t>
  </si>
  <si>
    <t>Tapa Vasos Domo 16y20oz</t>
  </si>
  <si>
    <t>Vaso 20oz</t>
  </si>
  <si>
    <t>Vaso 16oz</t>
  </si>
  <si>
    <t>LA REBANADA</t>
  </si>
  <si>
    <t>Pay Grande</t>
  </si>
  <si>
    <t>Pay Mediano</t>
  </si>
  <si>
    <t>GINA</t>
  </si>
  <si>
    <t>EL PECADO</t>
  </si>
  <si>
    <t>480 - 450</t>
  </si>
  <si>
    <t>420 - 390</t>
  </si>
  <si>
    <t xml:space="preserve">350 - 320 </t>
  </si>
  <si>
    <t>640 - 700</t>
  </si>
  <si>
    <t>730 -800</t>
  </si>
  <si>
    <t>430 - 450 - 480</t>
  </si>
  <si>
    <t>310 - 350</t>
  </si>
  <si>
    <t>COMPETENCIAS - ANALISIS 2025</t>
  </si>
  <si>
    <t>Rol Canela</t>
  </si>
  <si>
    <t>Nutrileche</t>
  </si>
  <si>
    <t>Azúcar estándar</t>
  </si>
  <si>
    <t>Esencia de naranja</t>
  </si>
  <si>
    <t>Pastel Grande</t>
  </si>
  <si>
    <t>Pastel Mediano</t>
  </si>
  <si>
    <t>Pastel Chico</t>
  </si>
  <si>
    <t>Presentación/Empresa</t>
  </si>
  <si>
    <t>Rango de precios</t>
  </si>
  <si>
    <t>Galleta Red Velvet Mejorada 2025</t>
  </si>
  <si>
    <t>Bascula X</t>
  </si>
  <si>
    <t>P.U</t>
  </si>
  <si>
    <t>$</t>
  </si>
  <si>
    <t>Pastel 3 leches Med</t>
  </si>
  <si>
    <t>Extra Dream whip</t>
  </si>
  <si>
    <t>Mano de obra</t>
  </si>
  <si>
    <t xml:space="preserve">H. CHOCOLATE OJO </t>
  </si>
  <si>
    <t>H. CHOCOLATE MOMIA</t>
  </si>
  <si>
    <t>H. CHOCOLATE OJO  VERDE</t>
  </si>
  <si>
    <t>H. VAINILLA BRUJA</t>
  </si>
  <si>
    <t>Kisses</t>
  </si>
  <si>
    <t>Decorado 4</t>
  </si>
  <si>
    <t>Decorado 5</t>
  </si>
  <si>
    <t>Colorante</t>
  </si>
  <si>
    <t>H. VAINILLA MONSTRUO LILA</t>
  </si>
  <si>
    <t>Gragea calavera, huesos</t>
  </si>
  <si>
    <t>Ojos Minis</t>
  </si>
  <si>
    <t>Gragea granillo negro</t>
  </si>
  <si>
    <t xml:space="preserve">INSUMOS </t>
  </si>
  <si>
    <t>Ojo Mediano</t>
  </si>
  <si>
    <t>Palillo Ojo y dedo bruja</t>
  </si>
  <si>
    <t>C/U</t>
  </si>
  <si>
    <t>Kg - Pza</t>
  </si>
  <si>
    <t>Gragea Tumba</t>
  </si>
  <si>
    <t>Galleta oreo base</t>
  </si>
  <si>
    <t xml:space="preserve">Colorante </t>
  </si>
  <si>
    <t>Venta</t>
  </si>
  <si>
    <t>Mano de Obra</t>
  </si>
  <si>
    <t>Precio de venta</t>
  </si>
  <si>
    <t>Rosca</t>
  </si>
  <si>
    <t>Mano Obra</t>
  </si>
  <si>
    <t>Armado</t>
  </si>
  <si>
    <t>Crumble Nuez</t>
  </si>
  <si>
    <t>Mermelada  de Fresa</t>
  </si>
  <si>
    <t>Costo Vs P.V.</t>
  </si>
  <si>
    <t>Leche Clavel</t>
  </si>
  <si>
    <t>M.O. Directa</t>
  </si>
  <si>
    <t xml:space="preserve">Bañado </t>
  </si>
  <si>
    <t>Betún mantequilla</t>
  </si>
  <si>
    <t>Codigo</t>
  </si>
  <si>
    <t>Impuestos</t>
  </si>
  <si>
    <t>Venta Neta</t>
  </si>
  <si>
    <t>Rosca de Red Velvet</t>
  </si>
  <si>
    <t>Rosca de Zanahoria</t>
  </si>
  <si>
    <t>Rosca de Dulce de Leche</t>
  </si>
  <si>
    <t>Rosca de Chocolate</t>
  </si>
  <si>
    <t>Rosca de Fresas Con Crema</t>
  </si>
  <si>
    <t>Rosca Edición Lotus</t>
  </si>
  <si>
    <t>0602Rosca</t>
  </si>
  <si>
    <t>Rosca Cookies N Cream</t>
  </si>
  <si>
    <t>Muibon</t>
  </si>
  <si>
    <t>Monito/Rosca</t>
  </si>
  <si>
    <t>Precio sin mano de obra</t>
  </si>
  <si>
    <t>Betún Lotus</t>
  </si>
  <si>
    <t>Dreamwhip</t>
  </si>
  <si>
    <t>Betún 1 bollo lotus</t>
  </si>
  <si>
    <t>Presentacion chica</t>
  </si>
  <si>
    <t>Presentacion grande</t>
  </si>
  <si>
    <t>Gramos</t>
  </si>
  <si>
    <t>Roscas</t>
  </si>
  <si>
    <t>Dulce de Leches</t>
  </si>
  <si>
    <t>Costo sin M.O.</t>
  </si>
  <si>
    <t>Vainilla Mini</t>
  </si>
  <si>
    <t>Chocolate Mini</t>
  </si>
  <si>
    <t>Bollo Mini</t>
  </si>
  <si>
    <t>Bollo Mini San Valentín 2 PZ</t>
  </si>
  <si>
    <t>Bollo San Valentín 4 PZ</t>
  </si>
  <si>
    <t>Costo MO/KG</t>
  </si>
  <si>
    <t>Fajita caja rosa san valentin</t>
  </si>
  <si>
    <t>Fajita 4 bollos san valentin</t>
  </si>
  <si>
    <t>Fajita 2 bollos san valentin</t>
  </si>
  <si>
    <t>Tarjeta san valentin 6x8 cm</t>
  </si>
  <si>
    <t>Etiqueta San Valentin 8cm</t>
  </si>
  <si>
    <t>bolsaKraftPersonalizada</t>
  </si>
  <si>
    <t>Pan 3 Leches Mediano Merma 28/01/26</t>
  </si>
  <si>
    <t>Deuda ---</t>
  </si>
  <si>
    <t>Bisagra para bollo de 2</t>
  </si>
  <si>
    <t xml:space="preserve"> Gragea Confeti Mini Corazon Rojo, Rosa, Blanco</t>
  </si>
  <si>
    <t>Gragea Granillo Rojo, Blanco, Rosa</t>
  </si>
  <si>
    <t>Gragea Deco Azucar xoxo</t>
  </si>
  <si>
    <t>Gragea mezcla Corazon Perla Rosa Granillo</t>
  </si>
  <si>
    <t>Liston Satinado</t>
  </si>
  <si>
    <t>Fondant Sabor Nata Coco</t>
  </si>
  <si>
    <t>Chocolate Snickers</t>
  </si>
  <si>
    <t>Chocolate Kinder</t>
  </si>
  <si>
    <t>TOTAL CAJA BOLLO 2 PZA:</t>
  </si>
  <si>
    <t>San Valentin 2 Piezas</t>
  </si>
  <si>
    <t>San Valentin 4 Piezas</t>
  </si>
  <si>
    <t>Total Caja B 4 Pza</t>
  </si>
  <si>
    <t>Pastel San Valentín</t>
  </si>
  <si>
    <t>Paquete San Valentín</t>
  </si>
  <si>
    <t>Galleta Chispas de Chocolate</t>
  </si>
  <si>
    <t>Galleta Nutella</t>
  </si>
  <si>
    <t>Galleta de Red Velvet</t>
  </si>
  <si>
    <t>Caja</t>
  </si>
  <si>
    <t>Faja</t>
  </si>
  <si>
    <t>¿PARA 22 GR 1 O LAS 10 PZ?</t>
  </si>
  <si>
    <t>Dream whip</t>
  </si>
  <si>
    <t>Fondant</t>
  </si>
  <si>
    <t>Corazones</t>
  </si>
  <si>
    <t>San Valentín- Fresas Con Crema</t>
  </si>
  <si>
    <t>San Valentín- 3 Pecados</t>
  </si>
  <si>
    <t>Deam whip</t>
  </si>
  <si>
    <t>San Valentín- Crunch</t>
  </si>
  <si>
    <t>Total Crunch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</si>
</sst>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6">
    <numFmt numFmtId="8" formatCode="&quot;$&quot;#,##0.00;[Red]\-&quot;$&quot;#,##0.00"/>
    <numFmt numFmtId="44" formatCode="_-&quot;$&quot;* #,##0.00_-;\-&quot;$&quot;* #,##0.00_-;_-&quot;$&quot;* &quot;-&quot;??_-;_-@_-"/>
    <numFmt numFmtId="43" formatCode="_-* #,##0.00_-;\-* #,##0.00_-;_-* &quot;-&quot;??_-;_-@_-"/>
    <numFmt numFmtId="164" formatCode="0.000"/>
    <numFmt numFmtId="165" formatCode="_(&quot;$&quot;* #,##0.00_);_(&quot;$&quot;* \(#,##0.00\);_(&quot;$&quot;* &quot;-&quot;??_);_(@_)"/>
    <numFmt numFmtId="166" formatCode="0.000&quot; kg&quot;"/>
    <numFmt numFmtId="167" formatCode="0.0000"/>
    <numFmt numFmtId="168" formatCode="0.000&quot; lt&quot;"/>
    <numFmt numFmtId="169" formatCode="0.000&quot; Kg&quot;"/>
    <numFmt numFmtId="170" formatCode="0.000&quot; KG&quot;"/>
    <numFmt numFmtId="171" formatCode="_-[$$-80A]* #,##0.00_-;\-[$$-80A]* #,##0.00_-;_-[$$-80A]* &quot;-&quot;??_-;_-@_-"/>
    <numFmt numFmtId="172" formatCode="_-&quot;$&quot;* #,##0.000_-;\-&quot;$&quot;* #,##0.000_-;_-&quot;$&quot;* &quot;-&quot;???_-;_-@_-"/>
    <numFmt numFmtId="173" formatCode="0.000&quot; PZ&quot;"/>
    <numFmt numFmtId="174" formatCode="0.00000"/>
    <numFmt numFmtId="175" formatCode="_-&quot;$&quot;* #,##0.00_-;\-&quot;$&quot;* #,##0.00_-;_-&quot;$&quot;* &quot;-&quot;???_-;_-@_-"/>
    <numFmt numFmtId="176" formatCode="_-&quot;$&quot;* #,##0.0000_-;\-&quot;$&quot;* #,##0.0000_-;_-&quot;$&quot;* &quot;-&quot;??_-;_-@_-"/>
  </numFmts>
  <fonts count="2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00"/>
      <name val="Calibri"/>
      <family val="2"/>
      <charset val="1"/>
    </font>
    <font>
      <b/>
      <sz val="11"/>
      <color rgb="FF3F3F3F"/>
      <name val="Calibri"/>
      <family val="2"/>
      <charset val="1"/>
    </font>
    <font>
      <sz val="11"/>
      <color rgb="FF000000"/>
      <name val="Calibri"/>
      <family val="2"/>
    </font>
    <font>
      <b/>
      <sz val="11"/>
      <color rgb="FF3F3F3F"/>
      <name val="Calibri"/>
      <family val="2"/>
      <scheme val="minor"/>
    </font>
    <font>
      <sz val="8"/>
      <name val="Calibri"/>
      <family val="2"/>
      <scheme val="minor"/>
    </font>
    <font>
      <b/>
      <sz val="11"/>
      <color rgb="FF000000"/>
      <name val="Calibri"/>
      <family val="2"/>
    </font>
    <font>
      <b/>
      <i/>
      <sz val="11"/>
      <color theme="1"/>
      <name val="Calibri"/>
      <family val="2"/>
      <scheme val="minor"/>
    </font>
    <font>
      <b/>
      <sz val="9"/>
      <color rgb="FF000000"/>
      <name val="Tahoma"/>
      <family val="2"/>
    </font>
    <font>
      <sz val="9"/>
      <color rgb="FF000000"/>
      <name val="Tahoma"/>
      <family val="2"/>
    </font>
    <font>
      <sz val="11"/>
      <color rgb="FF3F3F3F"/>
      <name val="Calibri"/>
      <family val="2"/>
    </font>
    <font>
      <i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rgb="FFC00000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rgb="FF000000"/>
      <name val="Aptos Narrow"/>
      <family val="2"/>
    </font>
    <font>
      <b/>
      <sz val="11"/>
      <color rgb="FFFF000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3F3F3F"/>
      <name val="Calibri"/>
      <family val="2"/>
    </font>
  </fonts>
  <fills count="18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F2F2F2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D9D9D9"/>
        <bgColor rgb="FFD9D9D9"/>
      </patternFill>
    </fill>
    <fill>
      <patternFill patternType="lightUp">
        <bgColor rgb="FFFFFF00"/>
      </patternFill>
    </fill>
    <fill>
      <patternFill patternType="lightUp"/>
    </fill>
    <fill>
      <patternFill patternType="solid">
        <fgColor theme="5" tint="0.399975585192419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5" tint="0.59999389629810485"/>
        <bgColor indexed="64"/>
      </patternFill>
    </fill>
  </fills>
  <borders count="47">
    <border>
      <left/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theme="1"/>
      </right>
      <top style="thin">
        <color theme="1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5">
    <xf numFmtId="0" fontId="0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</cellStyleXfs>
  <cellXfs count="369">
    <xf numFmtId="0" fontId="0" fillId="0" borderId="0" xfId="0"/>
    <xf numFmtId="0" fontId="0" fillId="0" borderId="2" xfId="0" applyBorder="1" applyAlignment="1">
      <alignment horizontal="left"/>
    </xf>
    <xf numFmtId="0" fontId="0" fillId="0" borderId="2" xfId="0" applyBorder="1"/>
    <xf numFmtId="0" fontId="0" fillId="0" borderId="0" xfId="0" applyAlignment="1">
      <alignment horizontal="center"/>
    </xf>
    <xf numFmtId="0" fontId="0" fillId="0" borderId="2" xfId="0" applyBorder="1" applyAlignment="1">
      <alignment horizontal="center" vertical="center"/>
    </xf>
    <xf numFmtId="44" fontId="0" fillId="0" borderId="0" xfId="2" applyFont="1"/>
    <xf numFmtId="165" fontId="0" fillId="0" borderId="0" xfId="0" applyNumberFormat="1"/>
    <xf numFmtId="0" fontId="2" fillId="0" borderId="8" xfId="0" applyFont="1" applyBorder="1"/>
    <xf numFmtId="164" fontId="0" fillId="0" borderId="2" xfId="1" applyNumberFormat="1" applyFont="1" applyBorder="1" applyAlignment="1">
      <alignment horizontal="center" vertical="center"/>
    </xf>
    <xf numFmtId="166" fontId="0" fillId="0" borderId="2" xfId="0" applyNumberFormat="1" applyBorder="1" applyAlignment="1">
      <alignment horizontal="center" vertical="center"/>
    </xf>
    <xf numFmtId="164" fontId="0" fillId="0" borderId="0" xfId="1" applyNumberFormat="1" applyFont="1"/>
    <xf numFmtId="44" fontId="0" fillId="0" borderId="2" xfId="0" applyNumberFormat="1" applyBorder="1" applyAlignment="1">
      <alignment horizontal="center" vertical="center"/>
    </xf>
    <xf numFmtId="164" fontId="0" fillId="0" borderId="0" xfId="0" applyNumberFormat="1"/>
    <xf numFmtId="44" fontId="0" fillId="0" borderId="0" xfId="0" applyNumberFormat="1"/>
    <xf numFmtId="167" fontId="0" fillId="0" borderId="0" xfId="0" applyNumberFormat="1"/>
    <xf numFmtId="0" fontId="0" fillId="0" borderId="7" xfId="0" applyBorder="1"/>
    <xf numFmtId="168" fontId="0" fillId="0" borderId="2" xfId="0" applyNumberFormat="1" applyBorder="1" applyAlignment="1">
      <alignment horizontal="center" vertical="center"/>
    </xf>
    <xf numFmtId="169" fontId="0" fillId="0" borderId="2" xfId="0" applyNumberFormat="1" applyBorder="1" applyAlignment="1">
      <alignment horizontal="center" vertical="center"/>
    </xf>
    <xf numFmtId="0" fontId="0" fillId="0" borderId="3" xfId="0" applyBorder="1"/>
    <xf numFmtId="165" fontId="2" fillId="0" borderId="0" xfId="0" applyNumberFormat="1" applyFont="1"/>
    <xf numFmtId="0" fontId="2" fillId="0" borderId="0" xfId="0" applyFont="1"/>
    <xf numFmtId="164" fontId="2" fillId="0" borderId="0" xfId="0" applyNumberFormat="1" applyFont="1"/>
    <xf numFmtId="170" fontId="0" fillId="0" borderId="0" xfId="0" applyNumberFormat="1"/>
    <xf numFmtId="2" fontId="0" fillId="0" borderId="0" xfId="0" applyNumberFormat="1"/>
    <xf numFmtId="0" fontId="0" fillId="0" borderId="12" xfId="0" applyBorder="1"/>
    <xf numFmtId="0" fontId="0" fillId="0" borderId="13" xfId="0" applyBorder="1"/>
    <xf numFmtId="9" fontId="0" fillId="0" borderId="0" xfId="3" applyFont="1"/>
    <xf numFmtId="164" fontId="0" fillId="0" borderId="0" xfId="0" applyNumberFormat="1" applyAlignment="1">
      <alignment horizontal="center"/>
    </xf>
    <xf numFmtId="44" fontId="0" fillId="0" borderId="2" xfId="2" applyFont="1" applyBorder="1"/>
    <xf numFmtId="0" fontId="3" fillId="0" borderId="17" xfId="0" applyFont="1" applyBorder="1"/>
    <xf numFmtId="0" fontId="3" fillId="0" borderId="15" xfId="0" applyFont="1" applyBorder="1"/>
    <xf numFmtId="0" fontId="3" fillId="0" borderId="18" xfId="0" applyFont="1" applyBorder="1"/>
    <xf numFmtId="171" fontId="0" fillId="0" borderId="0" xfId="0" applyNumberFormat="1"/>
    <xf numFmtId="0" fontId="3" fillId="0" borderId="2" xfId="0" applyFont="1" applyBorder="1"/>
    <xf numFmtId="0" fontId="3" fillId="0" borderId="1" xfId="0" applyFont="1" applyBorder="1"/>
    <xf numFmtId="0" fontId="3" fillId="0" borderId="14" xfId="0" applyFont="1" applyBorder="1"/>
    <xf numFmtId="0" fontId="3" fillId="0" borderId="3" xfId="0" applyFont="1" applyBorder="1"/>
    <xf numFmtId="0" fontId="3" fillId="0" borderId="12" xfId="0" applyFont="1" applyBorder="1"/>
    <xf numFmtId="0" fontId="3" fillId="0" borderId="5" xfId="0" applyFont="1" applyBorder="1"/>
    <xf numFmtId="171" fontId="4" fillId="2" borderId="19" xfId="0" applyNumberFormat="1" applyFont="1" applyFill="1" applyBorder="1"/>
    <xf numFmtId="0" fontId="3" fillId="0" borderId="23" xfId="0" applyFont="1" applyBorder="1"/>
    <xf numFmtId="0" fontId="3" fillId="0" borderId="20" xfId="0" applyFont="1" applyBorder="1"/>
    <xf numFmtId="0" fontId="3" fillId="0" borderId="24" xfId="0" applyFont="1" applyBorder="1"/>
    <xf numFmtId="164" fontId="3" fillId="0" borderId="3" xfId="0" applyNumberFormat="1" applyFont="1" applyBorder="1"/>
    <xf numFmtId="164" fontId="3" fillId="0" borderId="21" xfId="0" applyNumberFormat="1" applyFont="1" applyBorder="1"/>
    <xf numFmtId="164" fontId="3" fillId="0" borderId="0" xfId="0" applyNumberFormat="1" applyFont="1"/>
    <xf numFmtId="164" fontId="3" fillId="0" borderId="5" xfId="0" applyNumberFormat="1" applyFont="1" applyBorder="1"/>
    <xf numFmtId="164" fontId="3" fillId="0" borderId="22" xfId="0" applyNumberFormat="1" applyFont="1" applyBorder="1"/>
    <xf numFmtId="164" fontId="3" fillId="0" borderId="25" xfId="0" applyNumberFormat="1" applyFont="1" applyBorder="1"/>
    <xf numFmtId="0" fontId="0" fillId="0" borderId="17" xfId="0" applyBorder="1"/>
    <xf numFmtId="171" fontId="4" fillId="3" borderId="26" xfId="0" applyNumberFormat="1" applyFont="1" applyFill="1" applyBorder="1"/>
    <xf numFmtId="9" fontId="0" fillId="0" borderId="0" xfId="0" applyNumberFormat="1"/>
    <xf numFmtId="0" fontId="3" fillId="0" borderId="27" xfId="0" applyFont="1" applyBorder="1"/>
    <xf numFmtId="171" fontId="3" fillId="0" borderId="17" xfId="0" applyNumberFormat="1" applyFont="1" applyBorder="1"/>
    <xf numFmtId="0" fontId="3" fillId="0" borderId="28" xfId="0" applyFont="1" applyBorder="1"/>
    <xf numFmtId="164" fontId="3" fillId="0" borderId="4" xfId="0" applyNumberFormat="1" applyFont="1" applyBorder="1"/>
    <xf numFmtId="164" fontId="3" fillId="0" borderId="1" xfId="0" applyNumberFormat="1" applyFont="1" applyBorder="1"/>
    <xf numFmtId="172" fontId="3" fillId="0" borderId="1" xfId="0" applyNumberFormat="1" applyFont="1" applyBorder="1"/>
    <xf numFmtId="172" fontId="3" fillId="0" borderId="14" xfId="0" applyNumberFormat="1" applyFont="1" applyBorder="1"/>
    <xf numFmtId="171" fontId="3" fillId="0" borderId="14" xfId="0" applyNumberFormat="1" applyFont="1" applyBorder="1"/>
    <xf numFmtId="164" fontId="3" fillId="0" borderId="17" xfId="0" applyNumberFormat="1" applyFont="1" applyBorder="1"/>
    <xf numFmtId="172" fontId="3" fillId="0" borderId="12" xfId="0" applyNumberFormat="1" applyFont="1" applyBorder="1"/>
    <xf numFmtId="172" fontId="3" fillId="0" borderId="5" xfId="0" applyNumberFormat="1" applyFont="1" applyBorder="1"/>
    <xf numFmtId="164" fontId="3" fillId="0" borderId="19" xfId="0" applyNumberFormat="1" applyFont="1" applyBorder="1"/>
    <xf numFmtId="164" fontId="3" fillId="0" borderId="27" xfId="0" applyNumberFormat="1" applyFont="1" applyBorder="1"/>
    <xf numFmtId="164" fontId="3" fillId="0" borderId="18" xfId="0" applyNumberFormat="1" applyFont="1" applyBorder="1"/>
    <xf numFmtId="1" fontId="3" fillId="0" borderId="15" xfId="0" applyNumberFormat="1" applyFont="1" applyBorder="1"/>
    <xf numFmtId="164" fontId="3" fillId="0" borderId="11" xfId="0" applyNumberFormat="1" applyFont="1" applyBorder="1"/>
    <xf numFmtId="172" fontId="3" fillId="0" borderId="11" xfId="0" applyNumberFormat="1" applyFont="1" applyBorder="1"/>
    <xf numFmtId="172" fontId="3" fillId="0" borderId="29" xfId="0" applyNumberFormat="1" applyFont="1" applyBorder="1"/>
    <xf numFmtId="0" fontId="3" fillId="0" borderId="29" xfId="0" applyFont="1" applyBorder="1"/>
    <xf numFmtId="0" fontId="3" fillId="0" borderId="4" xfId="0" applyFont="1" applyBorder="1"/>
    <xf numFmtId="0" fontId="3" fillId="0" borderId="22" xfId="0" applyFont="1" applyBorder="1"/>
    <xf numFmtId="0" fontId="3" fillId="0" borderId="25" xfId="0" applyFont="1" applyBorder="1"/>
    <xf numFmtId="0" fontId="5" fillId="0" borderId="2" xfId="0" applyFont="1" applyBorder="1"/>
    <xf numFmtId="0" fontId="5" fillId="0" borderId="15" xfId="0" applyFont="1" applyBorder="1"/>
    <xf numFmtId="0" fontId="5" fillId="0" borderId="1" xfId="0" applyFont="1" applyBorder="1"/>
    <xf numFmtId="0" fontId="5" fillId="0" borderId="14" xfId="0" applyFont="1" applyBorder="1"/>
    <xf numFmtId="44" fontId="0" fillId="0" borderId="0" xfId="2" applyFont="1" applyFill="1"/>
    <xf numFmtId="44" fontId="6" fillId="4" borderId="32" xfId="4" applyFont="1" applyFill="1" applyBorder="1" applyAlignment="1">
      <alignment horizontal="center" vertical="center"/>
    </xf>
    <xf numFmtId="0" fontId="0" fillId="0" borderId="0" xfId="0" applyAlignment="1">
      <alignment horizontal="left"/>
    </xf>
    <xf numFmtId="1" fontId="0" fillId="0" borderId="0" xfId="0" applyNumberFormat="1"/>
    <xf numFmtId="44" fontId="6" fillId="4" borderId="34" xfId="4" applyFont="1" applyFill="1" applyBorder="1" applyAlignment="1">
      <alignment horizontal="center" vertical="center"/>
    </xf>
    <xf numFmtId="0" fontId="0" fillId="0" borderId="4" xfId="0" applyBorder="1" applyAlignment="1">
      <alignment horizontal="left"/>
    </xf>
    <xf numFmtId="0" fontId="0" fillId="0" borderId="4" xfId="0" applyBorder="1"/>
    <xf numFmtId="44" fontId="0" fillId="0" borderId="2" xfId="0" applyNumberFormat="1" applyBorder="1"/>
    <xf numFmtId="44" fontId="0" fillId="0" borderId="9" xfId="0" applyNumberFormat="1" applyBorder="1"/>
    <xf numFmtId="164" fontId="3" fillId="0" borderId="2" xfId="0" applyNumberFormat="1" applyFont="1" applyBorder="1"/>
    <xf numFmtId="172" fontId="3" fillId="0" borderId="2" xfId="0" applyNumberFormat="1" applyFont="1" applyBorder="1"/>
    <xf numFmtId="44" fontId="3" fillId="0" borderId="29" xfId="2" applyFont="1" applyBorder="1"/>
    <xf numFmtId="164" fontId="8" fillId="0" borderId="2" xfId="0" applyNumberFormat="1" applyFont="1" applyBorder="1"/>
    <xf numFmtId="171" fontId="3" fillId="0" borderId="2" xfId="0" applyNumberFormat="1" applyFont="1" applyBorder="1"/>
    <xf numFmtId="164" fontId="3" fillId="0" borderId="12" xfId="0" applyNumberFormat="1" applyFont="1" applyBorder="1"/>
    <xf numFmtId="0" fontId="3" fillId="0" borderId="30" xfId="0" applyFont="1" applyBorder="1"/>
    <xf numFmtId="1" fontId="3" fillId="0" borderId="14" xfId="0" applyNumberFormat="1" applyFont="1" applyBorder="1"/>
    <xf numFmtId="44" fontId="0" fillId="0" borderId="0" xfId="2" applyFont="1" applyBorder="1"/>
    <xf numFmtId="16" fontId="0" fillId="0" borderId="0" xfId="0" applyNumberFormat="1"/>
    <xf numFmtId="1" fontId="3" fillId="0" borderId="2" xfId="0" applyNumberFormat="1" applyFont="1" applyBorder="1"/>
    <xf numFmtId="0" fontId="0" fillId="0" borderId="9" xfId="0" applyBorder="1"/>
    <xf numFmtId="171" fontId="0" fillId="0" borderId="9" xfId="0" applyNumberFormat="1" applyBorder="1"/>
    <xf numFmtId="44" fontId="0" fillId="0" borderId="9" xfId="2" applyFont="1" applyBorder="1"/>
    <xf numFmtId="44" fontId="3" fillId="0" borderId="17" xfId="0" applyNumberFormat="1" applyFont="1" applyBorder="1"/>
    <xf numFmtId="0" fontId="3" fillId="0" borderId="6" xfId="0" applyFont="1" applyBorder="1"/>
    <xf numFmtId="172" fontId="3" fillId="0" borderId="4" xfId="0" applyNumberFormat="1" applyFont="1" applyBorder="1"/>
    <xf numFmtId="44" fontId="3" fillId="0" borderId="2" xfId="2" applyFont="1" applyBorder="1"/>
    <xf numFmtId="0" fontId="9" fillId="0" borderId="0" xfId="0" applyFont="1"/>
    <xf numFmtId="0" fontId="0" fillId="0" borderId="0" xfId="0" applyAlignment="1">
      <alignment horizontal="center" wrapText="1"/>
    </xf>
    <xf numFmtId="0" fontId="2" fillId="0" borderId="9" xfId="0" applyFont="1" applyBorder="1"/>
    <xf numFmtId="0" fontId="2" fillId="0" borderId="13" xfId="0" applyFont="1" applyBorder="1"/>
    <xf numFmtId="44" fontId="0" fillId="0" borderId="36" xfId="0" applyNumberFormat="1" applyBorder="1"/>
    <xf numFmtId="165" fontId="2" fillId="0" borderId="36" xfId="0" applyNumberFormat="1" applyFont="1" applyBorder="1"/>
    <xf numFmtId="171" fontId="2" fillId="0" borderId="0" xfId="0" applyNumberFormat="1" applyFont="1"/>
    <xf numFmtId="0" fontId="2" fillId="0" borderId="2" xfId="0" applyFont="1" applyBorder="1"/>
    <xf numFmtId="0" fontId="12" fillId="0" borderId="0" xfId="0" applyFont="1"/>
    <xf numFmtId="0" fontId="3" fillId="0" borderId="19" xfId="0" applyFont="1" applyBorder="1"/>
    <xf numFmtId="44" fontId="3" fillId="0" borderId="17" xfId="2" applyFont="1" applyBorder="1"/>
    <xf numFmtId="165" fontId="0" fillId="0" borderId="36" xfId="0" applyNumberFormat="1" applyBorder="1"/>
    <xf numFmtId="2" fontId="2" fillId="0" borderId="2" xfId="0" applyNumberFormat="1" applyFont="1" applyBorder="1"/>
    <xf numFmtId="0" fontId="0" fillId="0" borderId="0" xfId="0" applyAlignment="1">
      <alignment vertical="center" wrapText="1"/>
    </xf>
    <xf numFmtId="170" fontId="0" fillId="0" borderId="0" xfId="0" applyNumberFormat="1" applyAlignment="1">
      <alignment horizontal="center" vertical="center"/>
    </xf>
    <xf numFmtId="44" fontId="0" fillId="0" borderId="0" xfId="2" applyFont="1" applyFill="1" applyBorder="1" applyAlignment="1">
      <alignment horizontal="center" vertical="center"/>
    </xf>
    <xf numFmtId="44" fontId="0" fillId="0" borderId="0" xfId="2" applyFont="1" applyFill="1" applyAlignment="1">
      <alignment horizontal="center" vertical="center"/>
    </xf>
    <xf numFmtId="44" fontId="0" fillId="0" borderId="0" xfId="0" applyNumberForma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13" fillId="0" borderId="0" xfId="0" applyFont="1"/>
    <xf numFmtId="44" fontId="2" fillId="0" borderId="0" xfId="2" applyFont="1"/>
    <xf numFmtId="44" fontId="2" fillId="0" borderId="0" xfId="0" applyNumberFormat="1" applyFont="1"/>
    <xf numFmtId="171" fontId="2" fillId="0" borderId="13" xfId="0" applyNumberFormat="1" applyFont="1" applyBorder="1"/>
    <xf numFmtId="0" fontId="2" fillId="0" borderId="36" xfId="0" applyFont="1" applyBorder="1"/>
    <xf numFmtId="44" fontId="2" fillId="0" borderId="36" xfId="2" applyFont="1" applyFill="1" applyBorder="1" applyAlignment="1">
      <alignment horizontal="center" vertical="center"/>
    </xf>
    <xf numFmtId="44" fontId="2" fillId="0" borderId="36" xfId="0" applyNumberFormat="1" applyFont="1" applyBorder="1" applyAlignment="1">
      <alignment horizontal="center" vertical="center"/>
    </xf>
    <xf numFmtId="44" fontId="2" fillId="0" borderId="9" xfId="2" applyFont="1" applyFill="1" applyBorder="1" applyAlignment="1">
      <alignment horizontal="center" vertical="center"/>
    </xf>
    <xf numFmtId="44" fontId="2" fillId="0" borderId="36" xfId="0" applyNumberFormat="1" applyFont="1" applyBorder="1"/>
    <xf numFmtId="0" fontId="2" fillId="0" borderId="36" xfId="0" applyFont="1" applyBorder="1" applyAlignment="1">
      <alignment horizontal="center" vertical="center"/>
    </xf>
    <xf numFmtId="2" fontId="2" fillId="0" borderId="36" xfId="0" applyNumberFormat="1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2" fontId="2" fillId="0" borderId="9" xfId="0" applyNumberFormat="1" applyFont="1" applyBorder="1" applyAlignment="1">
      <alignment horizontal="center" vertical="center"/>
    </xf>
    <xf numFmtId="0" fontId="2" fillId="0" borderId="36" xfId="0" applyFont="1" applyBorder="1" applyAlignment="1">
      <alignment horizontal="center" wrapText="1"/>
    </xf>
    <xf numFmtId="0" fontId="2" fillId="0" borderId="38" xfId="0" applyFont="1" applyBorder="1"/>
    <xf numFmtId="0" fontId="2" fillId="0" borderId="37" xfId="0" applyFont="1" applyBorder="1"/>
    <xf numFmtId="0" fontId="0" fillId="0" borderId="3" xfId="0" applyBorder="1" applyAlignment="1">
      <alignment horizontal="left"/>
    </xf>
    <xf numFmtId="0" fontId="2" fillId="0" borderId="14" xfId="0" applyFont="1" applyBorder="1"/>
    <xf numFmtId="0" fontId="0" fillId="0" borderId="5" xfId="0" applyBorder="1"/>
    <xf numFmtId="0" fontId="9" fillId="0" borderId="7" xfId="0" applyFont="1" applyBorder="1"/>
    <xf numFmtId="0" fontId="9" fillId="0" borderId="7" xfId="0" applyFont="1" applyBorder="1" applyAlignment="1">
      <alignment horizontal="center" vertical="center"/>
    </xf>
    <xf numFmtId="0" fontId="9" fillId="0" borderId="16" xfId="0" applyFont="1" applyBorder="1" applyAlignment="1">
      <alignment horizontal="center" vertical="center"/>
    </xf>
    <xf numFmtId="0" fontId="0" fillId="0" borderId="40" xfId="0" applyBorder="1"/>
    <xf numFmtId="173" fontId="0" fillId="0" borderId="0" xfId="0" applyNumberFormat="1"/>
    <xf numFmtId="0" fontId="13" fillId="0" borderId="0" xfId="0" applyFont="1" applyAlignment="1">
      <alignment horizontal="left"/>
    </xf>
    <xf numFmtId="44" fontId="2" fillId="0" borderId="13" xfId="2" applyFont="1" applyBorder="1"/>
    <xf numFmtId="0" fontId="2" fillId="0" borderId="7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9" fontId="0" fillId="0" borderId="9" xfId="3" applyFont="1" applyBorder="1"/>
    <xf numFmtId="0" fontId="13" fillId="0" borderId="12" xfId="0" applyFont="1" applyBorder="1"/>
    <xf numFmtId="0" fontId="13" fillId="0" borderId="41" xfId="0" applyFont="1" applyBorder="1"/>
    <xf numFmtId="164" fontId="3" fillId="0" borderId="29" xfId="0" applyNumberFormat="1" applyFont="1" applyBorder="1"/>
    <xf numFmtId="174" fontId="0" fillId="0" borderId="0" xfId="0" applyNumberFormat="1"/>
    <xf numFmtId="172" fontId="0" fillId="0" borderId="0" xfId="0" applyNumberFormat="1"/>
    <xf numFmtId="0" fontId="2" fillId="0" borderId="7" xfId="0" applyFont="1" applyBorder="1" applyAlignment="1">
      <alignment horizontal="center"/>
    </xf>
    <xf numFmtId="0" fontId="2" fillId="0" borderId="0" xfId="0" applyFont="1" applyAlignment="1">
      <alignment horizontal="center"/>
    </xf>
    <xf numFmtId="0" fontId="3" fillId="0" borderId="0" xfId="0" applyFont="1"/>
    <xf numFmtId="0" fontId="2" fillId="0" borderId="2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  <xf numFmtId="164" fontId="0" fillId="0" borderId="0" xfId="1" applyNumberFormat="1" applyFont="1" applyBorder="1"/>
    <xf numFmtId="171" fontId="0" fillId="0" borderId="9" xfId="2" applyNumberFormat="1" applyFont="1" applyBorder="1"/>
    <xf numFmtId="0" fontId="13" fillId="0" borderId="0" xfId="0" applyFont="1" applyAlignment="1">
      <alignment horizontal="left" indent="2"/>
    </xf>
    <xf numFmtId="0" fontId="2" fillId="0" borderId="0" xfId="0" applyFont="1" applyAlignment="1">
      <alignment horizontal="left"/>
    </xf>
    <xf numFmtId="0" fontId="8" fillId="0" borderId="0" xfId="0" applyFont="1"/>
    <xf numFmtId="0" fontId="9" fillId="5" borderId="42" xfId="0" applyFont="1" applyFill="1" applyBorder="1"/>
    <xf numFmtId="0" fontId="0" fillId="5" borderId="11" xfId="0" applyFill="1" applyBorder="1"/>
    <xf numFmtId="0" fontId="0" fillId="5" borderId="11" xfId="0" applyFill="1" applyBorder="1" applyAlignment="1">
      <alignment horizontal="center"/>
    </xf>
    <xf numFmtId="44" fontId="0" fillId="5" borderId="11" xfId="0" applyNumberFormat="1" applyFill="1" applyBorder="1"/>
    <xf numFmtId="0" fontId="9" fillId="5" borderId="6" xfId="0" applyFont="1" applyFill="1" applyBorder="1"/>
    <xf numFmtId="0" fontId="0" fillId="5" borderId="0" xfId="0" applyFill="1"/>
    <xf numFmtId="0" fontId="0" fillId="5" borderId="0" xfId="0" applyFill="1" applyAlignment="1">
      <alignment horizontal="center"/>
    </xf>
    <xf numFmtId="44" fontId="0" fillId="5" borderId="0" xfId="0" applyNumberFormat="1" applyFill="1"/>
    <xf numFmtId="0" fontId="9" fillId="5" borderId="27" xfId="0" applyFont="1" applyFill="1" applyBorder="1"/>
    <xf numFmtId="0" fontId="0" fillId="5" borderId="13" xfId="0" applyFill="1" applyBorder="1"/>
    <xf numFmtId="0" fontId="0" fillId="5" borderId="13" xfId="0" applyFill="1" applyBorder="1" applyAlignment="1">
      <alignment horizontal="center"/>
    </xf>
    <xf numFmtId="44" fontId="0" fillId="5" borderId="13" xfId="0" applyNumberFormat="1" applyFill="1" applyBorder="1"/>
    <xf numFmtId="0" fontId="14" fillId="6" borderId="2" xfId="0" applyFont="1" applyFill="1" applyBorder="1" applyAlignment="1">
      <alignment horizontal="center"/>
    </xf>
    <xf numFmtId="0" fontId="15" fillId="0" borderId="0" xfId="0" applyFont="1"/>
    <xf numFmtId="164" fontId="3" fillId="0" borderId="6" xfId="0" applyNumberFormat="1" applyFont="1" applyBorder="1"/>
    <xf numFmtId="0" fontId="2" fillId="7" borderId="0" xfId="0" applyFont="1" applyFill="1"/>
    <xf numFmtId="171" fontId="2" fillId="7" borderId="0" xfId="0" applyNumberFormat="1" applyFont="1" applyFill="1"/>
    <xf numFmtId="0" fontId="0" fillId="7" borderId="0" xfId="0" applyFill="1"/>
    <xf numFmtId="9" fontId="0" fillId="7" borderId="0" xfId="3" applyFont="1" applyFill="1"/>
    <xf numFmtId="171" fontId="0" fillId="7" borderId="0" xfId="0" applyNumberFormat="1" applyFill="1"/>
    <xf numFmtId="44" fontId="0" fillId="7" borderId="0" xfId="2" applyFont="1" applyFill="1"/>
    <xf numFmtId="9" fontId="2" fillId="7" borderId="0" xfId="3" applyFont="1" applyFill="1"/>
    <xf numFmtId="44" fontId="2" fillId="7" borderId="0" xfId="2" applyFont="1" applyFill="1"/>
    <xf numFmtId="1" fontId="0" fillId="0" borderId="0" xfId="0" applyNumberFormat="1" applyAlignment="1">
      <alignment horizontal="left"/>
    </xf>
    <xf numFmtId="170" fontId="9" fillId="0" borderId="0" xfId="0" applyNumberFormat="1" applyFont="1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172" fontId="3" fillId="0" borderId="0" xfId="0" applyNumberFormat="1" applyFont="1"/>
    <xf numFmtId="172" fontId="3" fillId="0" borderId="35" xfId="0" applyNumberFormat="1" applyFont="1" applyBorder="1"/>
    <xf numFmtId="14" fontId="0" fillId="0" borderId="0" xfId="0" applyNumberFormat="1"/>
    <xf numFmtId="44" fontId="16" fillId="0" borderId="0" xfId="0" applyNumberFormat="1" applyFont="1"/>
    <xf numFmtId="0" fontId="0" fillId="9" borderId="0" xfId="0" applyFill="1"/>
    <xf numFmtId="0" fontId="0" fillId="10" borderId="0" xfId="0" applyFill="1"/>
    <xf numFmtId="0" fontId="17" fillId="11" borderId="0" xfId="0" applyFont="1" applyFill="1"/>
    <xf numFmtId="0" fontId="17" fillId="0" borderId="0" xfId="0" applyFont="1"/>
    <xf numFmtId="44" fontId="0" fillId="0" borderId="0" xfId="3" applyNumberFormat="1" applyFont="1"/>
    <xf numFmtId="0" fontId="3" fillId="12" borderId="0" xfId="0" applyFont="1" applyFill="1"/>
    <xf numFmtId="0" fontId="12" fillId="12" borderId="0" xfId="0" applyFont="1" applyFill="1"/>
    <xf numFmtId="165" fontId="0" fillId="12" borderId="0" xfId="0" applyNumberFormat="1" applyFill="1"/>
    <xf numFmtId="0" fontId="0" fillId="0" borderId="0" xfId="0" applyAlignment="1">
      <alignment horizontal="right"/>
    </xf>
    <xf numFmtId="164" fontId="0" fillId="0" borderId="0" xfId="0" applyNumberFormat="1" applyAlignment="1">
      <alignment horizontal="right"/>
    </xf>
    <xf numFmtId="164" fontId="2" fillId="0" borderId="2" xfId="0" applyNumberFormat="1" applyFont="1" applyBorder="1"/>
    <xf numFmtId="175" fontId="3" fillId="0" borderId="2" xfId="0" applyNumberFormat="1" applyFont="1" applyBorder="1"/>
    <xf numFmtId="0" fontId="0" fillId="13" borderId="0" xfId="0" applyFill="1"/>
    <xf numFmtId="171" fontId="0" fillId="13" borderId="0" xfId="0" applyNumberFormat="1" applyFill="1"/>
    <xf numFmtId="9" fontId="2" fillId="0" borderId="0" xfId="3" applyFont="1"/>
    <xf numFmtId="9" fontId="18" fillId="0" borderId="0" xfId="3" applyFont="1"/>
    <xf numFmtId="0" fontId="0" fillId="5" borderId="0" xfId="0" applyFill="1" applyAlignment="1">
      <alignment horizontal="right"/>
    </xf>
    <xf numFmtId="9" fontId="0" fillId="10" borderId="0" xfId="3" applyFont="1" applyFill="1"/>
    <xf numFmtId="0" fontId="9" fillId="10" borderId="7" xfId="0" applyFont="1" applyFill="1" applyBorder="1"/>
    <xf numFmtId="171" fontId="0" fillId="10" borderId="0" xfId="0" applyNumberFormat="1" applyFill="1"/>
    <xf numFmtId="9" fontId="18" fillId="10" borderId="13" xfId="3" applyFont="1" applyFill="1" applyBorder="1"/>
    <xf numFmtId="171" fontId="2" fillId="10" borderId="14" xfId="0" applyNumberFormat="1" applyFont="1" applyFill="1" applyBorder="1"/>
    <xf numFmtId="171" fontId="0" fillId="8" borderId="0" xfId="0" applyNumberFormat="1" applyFill="1"/>
    <xf numFmtId="9" fontId="18" fillId="8" borderId="2" xfId="3" applyFont="1" applyFill="1" applyBorder="1"/>
    <xf numFmtId="9" fontId="0" fillId="8" borderId="2" xfId="3" applyFont="1" applyFill="1" applyBorder="1"/>
    <xf numFmtId="0" fontId="0" fillId="8" borderId="2" xfId="0" applyFill="1" applyBorder="1"/>
    <xf numFmtId="0" fontId="9" fillId="8" borderId="2" xfId="0" applyFont="1" applyFill="1" applyBorder="1"/>
    <xf numFmtId="171" fontId="0" fillId="8" borderId="2" xfId="0" applyNumberFormat="1" applyFill="1" applyBorder="1"/>
    <xf numFmtId="0" fontId="9" fillId="8" borderId="2" xfId="0" applyFont="1" applyFill="1" applyBorder="1" applyAlignment="1">
      <alignment horizontal="center"/>
    </xf>
    <xf numFmtId="44" fontId="0" fillId="8" borderId="2" xfId="2" applyFont="1" applyFill="1" applyBorder="1" applyAlignment="1">
      <alignment horizontal="center" vertical="center"/>
    </xf>
    <xf numFmtId="44" fontId="0" fillId="8" borderId="38" xfId="2" applyFont="1" applyFill="1" applyBorder="1" applyAlignment="1">
      <alignment horizontal="center" vertical="center"/>
    </xf>
    <xf numFmtId="44" fontId="0" fillId="8" borderId="15" xfId="2" applyFont="1" applyFill="1" applyBorder="1" applyAlignment="1">
      <alignment horizontal="center" vertical="center"/>
    </xf>
    <xf numFmtId="171" fontId="2" fillId="8" borderId="2" xfId="0" applyNumberFormat="1" applyFont="1" applyFill="1" applyBorder="1" applyAlignment="1">
      <alignment horizontal="center" vertical="center"/>
    </xf>
    <xf numFmtId="44" fontId="0" fillId="8" borderId="0" xfId="2" applyFont="1" applyFill="1"/>
    <xf numFmtId="0" fontId="19" fillId="0" borderId="2" xfId="0" applyFont="1" applyBorder="1" applyAlignment="1">
      <alignment horizontal="center" vertical="center"/>
    </xf>
    <xf numFmtId="0" fontId="19" fillId="0" borderId="2" xfId="2" applyNumberFormat="1" applyFont="1" applyFill="1" applyBorder="1" applyAlignment="1">
      <alignment horizontal="center" vertical="center"/>
    </xf>
    <xf numFmtId="44" fontId="2" fillId="0" borderId="0" xfId="2" applyFont="1" applyBorder="1"/>
    <xf numFmtId="44" fontId="0" fillId="5" borderId="2" xfId="2" applyFont="1" applyFill="1" applyBorder="1" applyAlignment="1">
      <alignment horizontal="center" vertical="center"/>
    </xf>
    <xf numFmtId="44" fontId="0" fillId="5" borderId="15" xfId="2" applyFont="1" applyFill="1" applyBorder="1" applyAlignment="1">
      <alignment horizontal="center" vertical="center"/>
    </xf>
    <xf numFmtId="9" fontId="0" fillId="0" borderId="0" xfId="3" applyFont="1" applyBorder="1"/>
    <xf numFmtId="0" fontId="2" fillId="14" borderId="7" xfId="0" applyFont="1" applyFill="1" applyBorder="1" applyAlignment="1">
      <alignment horizontal="center" vertical="center"/>
    </xf>
    <xf numFmtId="0" fontId="2" fillId="14" borderId="43" xfId="0" applyFont="1" applyFill="1" applyBorder="1" applyAlignment="1">
      <alignment horizontal="center" vertical="center"/>
    </xf>
    <xf numFmtId="0" fontId="2" fillId="5" borderId="43" xfId="0" applyFont="1" applyFill="1" applyBorder="1" applyAlignment="1">
      <alignment horizontal="center" vertical="center"/>
    </xf>
    <xf numFmtId="0" fontId="2" fillId="14" borderId="44" xfId="0" applyFont="1" applyFill="1" applyBorder="1" applyAlignment="1">
      <alignment horizontal="center" vertical="center"/>
    </xf>
    <xf numFmtId="164" fontId="0" fillId="0" borderId="2" xfId="0" applyNumberFormat="1" applyBorder="1"/>
    <xf numFmtId="0" fontId="2" fillId="0" borderId="13" xfId="0" applyFont="1" applyBorder="1" applyAlignment="1">
      <alignment horizontal="center" vertical="center"/>
    </xf>
    <xf numFmtId="44" fontId="0" fillId="8" borderId="0" xfId="2" applyFont="1" applyFill="1" applyAlignment="1">
      <alignment horizontal="center" vertical="center"/>
    </xf>
    <xf numFmtId="0" fontId="3" fillId="0" borderId="0" xfId="0" applyFont="1" applyAlignment="1">
      <alignment horizontal="center"/>
    </xf>
    <xf numFmtId="1" fontId="3" fillId="0" borderId="0" xfId="0" applyNumberFormat="1" applyFont="1"/>
    <xf numFmtId="2" fontId="0" fillId="0" borderId="2" xfId="0" applyNumberFormat="1" applyBorder="1"/>
    <xf numFmtId="44" fontId="0" fillId="15" borderId="2" xfId="0" applyNumberFormat="1" applyFill="1" applyBorder="1"/>
    <xf numFmtId="8" fontId="0" fillId="0" borderId="0" xfId="0" applyNumberFormat="1"/>
    <xf numFmtId="164" fontId="12" fillId="0" borderId="0" xfId="0" applyNumberFormat="1" applyFont="1"/>
    <xf numFmtId="0" fontId="3" fillId="13" borderId="2" xfId="0" applyFont="1" applyFill="1" applyBorder="1"/>
    <xf numFmtId="0" fontId="0" fillId="13" borderId="2" xfId="0" applyFill="1" applyBorder="1"/>
    <xf numFmtId="164" fontId="3" fillId="13" borderId="2" xfId="0" applyNumberFormat="1" applyFont="1" applyFill="1" applyBorder="1"/>
    <xf numFmtId="172" fontId="3" fillId="13" borderId="2" xfId="0" applyNumberFormat="1" applyFont="1" applyFill="1" applyBorder="1"/>
    <xf numFmtId="0" fontId="5" fillId="0" borderId="20" xfId="0" applyFont="1" applyBorder="1"/>
    <xf numFmtId="164" fontId="0" fillId="3" borderId="0" xfId="0" applyNumberFormat="1" applyFill="1"/>
    <xf numFmtId="0" fontId="0" fillId="0" borderId="2" xfId="0" applyBorder="1" applyAlignment="1">
      <alignment horizontal="center"/>
    </xf>
    <xf numFmtId="170" fontId="0" fillId="8" borderId="0" xfId="0" applyNumberFormat="1" applyFill="1" applyAlignment="1">
      <alignment horizontal="center" vertical="center"/>
    </xf>
    <xf numFmtId="0" fontId="9" fillId="0" borderId="2" xfId="0" applyFont="1" applyBorder="1"/>
    <xf numFmtId="44" fontId="0" fillId="0" borderId="0" xfId="0" applyNumberFormat="1" applyAlignment="1">
      <alignment horizontal="right"/>
    </xf>
    <xf numFmtId="164" fontId="0" fillId="5" borderId="2" xfId="0" applyNumberFormat="1" applyFill="1" applyBorder="1"/>
    <xf numFmtId="0" fontId="0" fillId="5" borderId="2" xfId="0" applyFill="1" applyBorder="1"/>
    <xf numFmtId="164" fontId="0" fillId="5" borderId="0" xfId="0" applyNumberFormat="1" applyFill="1"/>
    <xf numFmtId="0" fontId="22" fillId="0" borderId="0" xfId="0" applyFont="1"/>
    <xf numFmtId="0" fontId="21" fillId="0" borderId="2" xfId="0" applyFont="1" applyBorder="1"/>
    <xf numFmtId="0" fontId="21" fillId="0" borderId="1" xfId="0" applyFont="1" applyBorder="1"/>
    <xf numFmtId="171" fontId="23" fillId="2" borderId="19" xfId="0" applyNumberFormat="1" applyFont="1" applyFill="1" applyBorder="1"/>
    <xf numFmtId="0" fontId="21" fillId="0" borderId="14" xfId="0" applyFont="1" applyBorder="1"/>
    <xf numFmtId="0" fontId="21" fillId="0" borderId="15" xfId="0" applyFont="1" applyBorder="1"/>
    <xf numFmtId="171" fontId="23" fillId="2" borderId="22" xfId="0" applyNumberFormat="1" applyFont="1" applyFill="1" applyBorder="1"/>
    <xf numFmtId="171" fontId="23" fillId="3" borderId="26" xfId="0" applyNumberFormat="1" applyFont="1" applyFill="1" applyBorder="1"/>
    <xf numFmtId="0" fontId="21" fillId="0" borderId="0" xfId="0" applyFont="1"/>
    <xf numFmtId="0" fontId="0" fillId="0" borderId="15" xfId="0" applyBorder="1"/>
    <xf numFmtId="0" fontId="0" fillId="0" borderId="46" xfId="0" applyBorder="1"/>
    <xf numFmtId="0" fontId="0" fillId="16" borderId="0" xfId="0" applyFill="1"/>
    <xf numFmtId="0" fontId="0" fillId="16" borderId="0" xfId="0" applyFill="1" applyAlignment="1">
      <alignment horizontal="center" vertical="center"/>
    </xf>
    <xf numFmtId="44" fontId="0" fillId="16" borderId="0" xfId="2" applyFont="1" applyFill="1"/>
    <xf numFmtId="0" fontId="0" fillId="16" borderId="9" xfId="0" applyFill="1" applyBorder="1"/>
    <xf numFmtId="0" fontId="3" fillId="16" borderId="28" xfId="0" applyFont="1" applyFill="1" applyBorder="1"/>
    <xf numFmtId="44" fontId="0" fillId="16" borderId="0" xfId="0" applyNumberFormat="1" applyFill="1"/>
    <xf numFmtId="0" fontId="0" fillId="17" borderId="0" xfId="0" applyFill="1"/>
    <xf numFmtId="43" fontId="0" fillId="0" borderId="0" xfId="1" applyFont="1"/>
    <xf numFmtId="0" fontId="0" fillId="0" borderId="9" xfId="0" applyBorder="1" applyAlignment="1">
      <alignment horizontal="center" vertical="center"/>
    </xf>
    <xf numFmtId="43" fontId="0" fillId="0" borderId="0" xfId="1" applyFont="1" applyAlignment="1">
      <alignment horizontal="center" vertical="center"/>
    </xf>
    <xf numFmtId="43" fontId="0" fillId="5" borderId="0" xfId="1" applyFont="1" applyFill="1" applyAlignment="1">
      <alignment horizontal="center" vertical="center"/>
    </xf>
    <xf numFmtId="171" fontId="2" fillId="0" borderId="9" xfId="0" applyNumberFormat="1" applyFont="1" applyBorder="1"/>
    <xf numFmtId="176" fontId="0" fillId="0" borderId="0" xfId="0" applyNumberFormat="1"/>
    <xf numFmtId="0" fontId="19" fillId="0" borderId="0" xfId="0" applyFont="1"/>
    <xf numFmtId="0" fontId="5" fillId="0" borderId="4" xfId="0" applyFont="1" applyBorder="1"/>
    <xf numFmtId="172" fontId="5" fillId="0" borderId="2" xfId="0" applyNumberFormat="1" applyFont="1" applyBorder="1"/>
    <xf numFmtId="171" fontId="5" fillId="0" borderId="2" xfId="0" applyNumberFormat="1" applyFont="1" applyBorder="1"/>
    <xf numFmtId="172" fontId="5" fillId="0" borderId="1" xfId="0" applyNumberFormat="1" applyFont="1" applyBorder="1"/>
    <xf numFmtId="43" fontId="0" fillId="0" borderId="9" xfId="1" applyFont="1" applyBorder="1"/>
    <xf numFmtId="0" fontId="5" fillId="0" borderId="18" xfId="0" applyFont="1" applyBorder="1"/>
    <xf numFmtId="164" fontId="5" fillId="0" borderId="2" xfId="0" applyNumberFormat="1" applyFont="1" applyBorder="1"/>
    <xf numFmtId="0" fontId="5" fillId="0" borderId="2" xfId="0" applyFont="1" applyBorder="1" applyAlignment="1">
      <alignment horizontal="center"/>
    </xf>
    <xf numFmtId="171" fontId="5" fillId="0" borderId="18" xfId="0" applyNumberFormat="1" applyFont="1" applyBorder="1"/>
    <xf numFmtId="0" fontId="8" fillId="0" borderId="17" xfId="0" applyFont="1" applyBorder="1" applyAlignment="1">
      <alignment horizontal="center"/>
    </xf>
    <xf numFmtId="0" fontId="8" fillId="0" borderId="2" xfId="0" applyFont="1" applyBorder="1" applyAlignment="1">
      <alignment horizontal="center"/>
    </xf>
    <xf numFmtId="0" fontId="8" fillId="0" borderId="29" xfId="0" applyFont="1" applyBorder="1" applyAlignment="1">
      <alignment horizontal="center"/>
    </xf>
    <xf numFmtId="0" fontId="8" fillId="0" borderId="30" xfId="0" applyFont="1" applyBorder="1" applyAlignment="1">
      <alignment horizontal="center"/>
    </xf>
    <xf numFmtId="0" fontId="8" fillId="0" borderId="31" xfId="0" applyFont="1" applyBorder="1" applyAlignment="1">
      <alignment horizontal="center"/>
    </xf>
    <xf numFmtId="164" fontId="8" fillId="0" borderId="5" xfId="0" applyNumberFormat="1" applyFont="1" applyBorder="1"/>
    <xf numFmtId="164" fontId="8" fillId="0" borderId="1" xfId="0" applyNumberFormat="1" applyFont="1" applyBorder="1"/>
    <xf numFmtId="164" fontId="8" fillId="0" borderId="3" xfId="0" applyNumberFormat="1" applyFont="1" applyBorder="1"/>
    <xf numFmtId="164" fontId="8" fillId="0" borderId="21" xfId="0" applyNumberFormat="1" applyFont="1" applyBorder="1"/>
    <xf numFmtId="164" fontId="8" fillId="0" borderId="0" xfId="0" applyNumberFormat="1" applyFont="1"/>
    <xf numFmtId="0" fontId="2" fillId="0" borderId="0" xfId="0" applyFont="1" applyAlignment="1">
      <alignment horizontal="center"/>
    </xf>
    <xf numFmtId="0" fontId="0" fillId="5" borderId="2" xfId="0" applyFill="1" applyBorder="1" applyAlignment="1">
      <alignment horizontal="center"/>
    </xf>
    <xf numFmtId="0" fontId="0" fillId="0" borderId="2" xfId="0" applyBorder="1" applyAlignment="1">
      <alignment horizontal="center"/>
    </xf>
    <xf numFmtId="0" fontId="2" fillId="0" borderId="7" xfId="0" applyFont="1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1" xfId="0" applyBorder="1" applyAlignment="1">
      <alignment horizontal="center"/>
    </xf>
    <xf numFmtId="0" fontId="2" fillId="5" borderId="7" xfId="0" applyFont="1" applyFill="1" applyBorder="1" applyAlignment="1">
      <alignment horizontal="center"/>
    </xf>
    <xf numFmtId="0" fontId="0" fillId="16" borderId="0" xfId="0" applyFill="1" applyAlignment="1">
      <alignment horizontal="center" wrapText="1"/>
    </xf>
    <xf numFmtId="0" fontId="3" fillId="0" borderId="17" xfId="0" applyFont="1" applyBorder="1" applyAlignment="1">
      <alignment horizontal="center"/>
    </xf>
    <xf numFmtId="0" fontId="2" fillId="0" borderId="7" xfId="0" applyFont="1" applyBorder="1" applyAlignment="1">
      <alignment horizontal="center" wrapText="1"/>
    </xf>
    <xf numFmtId="0" fontId="3" fillId="0" borderId="29" xfId="0" applyFont="1" applyBorder="1" applyAlignment="1">
      <alignment horizontal="center"/>
    </xf>
    <xf numFmtId="0" fontId="3" fillId="0" borderId="2" xfId="0" applyFont="1" applyBorder="1" applyAlignment="1">
      <alignment horizontal="center"/>
    </xf>
    <xf numFmtId="0" fontId="21" fillId="0" borderId="2" xfId="0" applyFont="1" applyBorder="1" applyAlignment="1">
      <alignment horizontal="center"/>
    </xf>
    <xf numFmtId="0" fontId="3" fillId="0" borderId="45" xfId="0" applyFont="1" applyBorder="1" applyAlignment="1">
      <alignment horizontal="center"/>
    </xf>
    <xf numFmtId="0" fontId="3" fillId="0" borderId="10" xfId="0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20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2" fillId="5" borderId="0" xfId="0" applyFont="1" applyFill="1" applyAlignment="1">
      <alignment horizontal="center"/>
    </xf>
    <xf numFmtId="0" fontId="0" fillId="5" borderId="11" xfId="0" applyFill="1" applyBorder="1" applyAlignment="1">
      <alignment horizontal="center" vertical="center" wrapText="1"/>
    </xf>
    <xf numFmtId="0" fontId="0" fillId="5" borderId="5" xfId="0" applyFill="1" applyBorder="1" applyAlignment="1">
      <alignment horizontal="center" vertical="center" wrapText="1"/>
    </xf>
    <xf numFmtId="0" fontId="0" fillId="5" borderId="0" xfId="0" applyFill="1" applyAlignment="1">
      <alignment horizontal="center" vertical="center" wrapText="1"/>
    </xf>
    <xf numFmtId="0" fontId="0" fillId="5" borderId="12" xfId="0" applyFill="1" applyBorder="1" applyAlignment="1">
      <alignment horizontal="center" vertical="center" wrapText="1"/>
    </xf>
    <xf numFmtId="0" fontId="0" fillId="5" borderId="13" xfId="0" applyFill="1" applyBorder="1" applyAlignment="1">
      <alignment horizontal="center" vertical="center" wrapText="1"/>
    </xf>
    <xf numFmtId="0" fontId="0" fillId="5" borderId="14" xfId="0" applyFill="1" applyBorder="1" applyAlignment="1">
      <alignment horizontal="center" vertical="center" wrapText="1"/>
    </xf>
    <xf numFmtId="0" fontId="2" fillId="8" borderId="0" xfId="0" applyFont="1" applyFill="1" applyAlignment="1">
      <alignment horizontal="center"/>
    </xf>
    <xf numFmtId="0" fontId="2" fillId="0" borderId="9" xfId="0" applyFont="1" applyBorder="1" applyAlignment="1">
      <alignment horizontal="center"/>
    </xf>
    <xf numFmtId="0" fontId="8" fillId="0" borderId="17" xfId="0" applyFont="1" applyBorder="1" applyAlignment="1">
      <alignment horizontal="center"/>
    </xf>
    <xf numFmtId="0" fontId="8" fillId="0" borderId="2" xfId="0" applyFont="1" applyBorder="1" applyAlignment="1">
      <alignment horizontal="center"/>
    </xf>
    <xf numFmtId="0" fontId="2" fillId="0" borderId="45" xfId="0" applyFont="1" applyBorder="1" applyAlignment="1">
      <alignment horizontal="center"/>
    </xf>
    <xf numFmtId="0" fontId="2" fillId="0" borderId="10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2" xfId="0" applyFont="1" applyBorder="1" applyAlignment="1">
      <alignment horizontal="center" vertical="center" wrapText="1"/>
    </xf>
    <xf numFmtId="0" fontId="2" fillId="0" borderId="33" xfId="0" applyFont="1" applyBorder="1" applyAlignment="1">
      <alignment horizontal="center"/>
    </xf>
    <xf numFmtId="0" fontId="2" fillId="0" borderId="39" xfId="0" applyFont="1" applyBorder="1" applyAlignment="1">
      <alignment horizontal="center"/>
    </xf>
    <xf numFmtId="0" fontId="2" fillId="0" borderId="15" xfId="0" applyFont="1" applyBorder="1" applyAlignment="1">
      <alignment horizontal="center" vertical="center" wrapText="1"/>
    </xf>
    <xf numFmtId="0" fontId="2" fillId="0" borderId="13" xfId="0" applyFont="1" applyBorder="1" applyAlignment="1">
      <alignment horizontal="center"/>
    </xf>
    <xf numFmtId="0" fontId="2" fillId="0" borderId="2" xfId="0" applyFont="1" applyBorder="1" applyAlignment="1">
      <alignment horizontal="center" vertical="center"/>
    </xf>
    <xf numFmtId="0" fontId="0" fillId="0" borderId="8" xfId="0" applyBorder="1" applyAlignment="1">
      <alignment horizont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0" fillId="0" borderId="7" xfId="0" applyBorder="1" applyAlignment="1">
      <alignment horizontal="center"/>
    </xf>
    <xf numFmtId="0" fontId="8" fillId="0" borderId="29" xfId="0" applyFont="1" applyBorder="1" applyAlignment="1">
      <alignment horizontal="center"/>
    </xf>
    <xf numFmtId="0" fontId="8" fillId="0" borderId="35" xfId="0" applyFont="1" applyBorder="1" applyAlignment="1">
      <alignment horizontal="center"/>
    </xf>
    <xf numFmtId="0" fontId="8" fillId="0" borderId="18" xfId="0" applyFont="1" applyBorder="1" applyAlignment="1">
      <alignment horizontal="center"/>
    </xf>
    <xf numFmtId="0" fontId="0" fillId="10" borderId="13" xfId="0" applyFill="1" applyBorder="1" applyAlignment="1">
      <alignment horizontal="center"/>
    </xf>
    <xf numFmtId="0" fontId="0" fillId="10" borderId="0" xfId="0" applyFill="1" applyAlignment="1">
      <alignment horizontal="center"/>
    </xf>
    <xf numFmtId="0" fontId="8" fillId="0" borderId="30" xfId="0" applyFont="1" applyBorder="1" applyAlignment="1">
      <alignment horizontal="center"/>
    </xf>
    <xf numFmtId="0" fontId="8" fillId="0" borderId="31" xfId="0" applyFont="1" applyBorder="1" applyAlignment="1">
      <alignment horizontal="center"/>
    </xf>
    <xf numFmtId="0" fontId="2" fillId="10" borderId="2" xfId="0" applyFont="1" applyFill="1" applyBorder="1" applyAlignment="1">
      <alignment horizontal="center" vertical="center"/>
    </xf>
    <xf numFmtId="0" fontId="2" fillId="10" borderId="2" xfId="0" applyFont="1" applyFill="1" applyBorder="1" applyAlignment="1">
      <alignment horizontal="center"/>
    </xf>
    <xf numFmtId="0" fontId="2" fillId="10" borderId="0" xfId="0" applyFont="1" applyFill="1" applyAlignment="1">
      <alignment horizontal="center"/>
    </xf>
    <xf numFmtId="0" fontId="0" fillId="10" borderId="2" xfId="0" applyFill="1" applyBorder="1" applyAlignment="1">
      <alignment horizontal="center"/>
    </xf>
    <xf numFmtId="0" fontId="8" fillId="0" borderId="19" xfId="0" applyFont="1" applyBorder="1" applyAlignment="1">
      <alignment horizontal="center"/>
    </xf>
    <xf numFmtId="0" fontId="2" fillId="0" borderId="31" xfId="0" applyFont="1" applyBorder="1" applyAlignment="1">
      <alignment horizontal="center"/>
    </xf>
    <xf numFmtId="0" fontId="8" fillId="13" borderId="2" xfId="0" applyFont="1" applyFill="1" applyBorder="1" applyAlignment="1">
      <alignment horizontal="center"/>
    </xf>
    <xf numFmtId="0" fontId="0" fillId="5" borderId="6" xfId="0" applyFill="1" applyBorder="1" applyAlignment="1">
      <alignment horizontal="center" vertical="center" wrapText="1"/>
    </xf>
    <xf numFmtId="0" fontId="20" fillId="0" borderId="0" xfId="0" applyFont="1"/>
  </cellXfs>
  <cellStyles count="5">
    <cellStyle name="Millares" xfId="1" builtinId="3"/>
    <cellStyle name="Moneda" xfId="2" builtinId="4"/>
    <cellStyle name="Moneda 2" xfId="4" xr:uid="{A1E01714-45DF-4D23-B5FC-134F3D0D97D0}"/>
    <cellStyle name="Normal" xfId="0" builtinId="0"/>
    <cellStyle name="Porcentaje" xfId="3" builtinId="5"/>
  </cellStyles>
  <dxfs count="6">
    <dxf>
      <numFmt numFmtId="21" formatCode="dd\-mmm"/>
    </dxf>
    <dxf>
      <numFmt numFmtId="0" formatCode="General"/>
    </dxf>
    <dxf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34" formatCode="_-&quot;$&quot;* #,##0.00_-;\-&quot;$&quot;* #,##0.00_-;_-&quot;$&quot;* &quot;-&quot;??_-;_-@_-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numFmt numFmtId="1" formatCode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externalLink" Target="externalLinks/externalLink2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theme" Target="theme/theme1.xml"/><Relationship Id="rId45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4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microsoft.com/office/2017/10/relationships/person" Target="persons/person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externalLink" Target="externalLinks/externalLink1.xml"/><Relationship Id="rId20" Type="http://schemas.openxmlformats.org/officeDocument/2006/relationships/worksheet" Target="worksheets/sheet20.xml"/><Relationship Id="rId41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d.docs.live.net/34d24304b8d83f35/Control%20de%20Costeo/Costo%20Insumo.xlsx" TargetMode="External"/><Relationship Id="rId1" Type="http://schemas.openxmlformats.org/officeDocument/2006/relationships/externalLinkPath" Target="https://d.docs.live.net/34d24304b8d83f35/Control%20de%20Costeo/Costo%20Insumo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d.docs.live.net/34d24304b8d83f35/Control%20de%20Costeo/COSTOS%20MANO%20DE%20OBRA_CORREGIDO.xlsx" TargetMode="External"/><Relationship Id="rId1" Type="http://schemas.openxmlformats.org/officeDocument/2006/relationships/externalLinkPath" Target="https://d.docs.live.net/34d24304b8d83f35/Control%20de%20Costeo/COSTOS%20MANO%20DE%20OBRA_CORREGIDO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 driveId="34D24304B8D83F35" itemId="34D24304B8D83F35!sdfa674a9db754bd6bfaf19fa508679b5">
      <xxl21:absoluteUrl r:id="rId2"/>
    </xxl21:alternateUrls>
    <sheetNames>
      <sheetName val="Costo Materia Prima"/>
      <sheetName val="Formato"/>
    </sheetNames>
    <sheetDataSet>
      <sheetData sheetId="0">
        <row r="3">
          <cell r="A3" t="str">
            <v>12PZ cupcake</v>
          </cell>
          <cell r="B3" t="str">
            <v>12PZ cupcake</v>
          </cell>
          <cell r="C3">
            <v>0</v>
          </cell>
          <cell r="D3" t="str">
            <v>PZ</v>
          </cell>
          <cell r="E3">
            <v>0</v>
          </cell>
          <cell r="F3">
            <v>0</v>
          </cell>
          <cell r="G3"/>
          <cell r="H3" t="str">
            <v>PZ</v>
          </cell>
          <cell r="I3" t="str">
            <v>Verificado</v>
          </cell>
          <cell r="J3">
            <v>0</v>
          </cell>
          <cell r="K3">
            <v>45862</v>
          </cell>
        </row>
        <row r="4">
          <cell r="A4" t="str">
            <v>1PZcupcake</v>
          </cell>
          <cell r="B4" t="str">
            <v>1PZcupcake</v>
          </cell>
          <cell r="C4">
            <v>74</v>
          </cell>
          <cell r="D4" t="str">
            <v>PZ</v>
          </cell>
          <cell r="E4">
            <v>537.98</v>
          </cell>
          <cell r="F4">
            <v>7.2700000000000005</v>
          </cell>
          <cell r="G4">
            <v>791</v>
          </cell>
          <cell r="H4" t="str">
            <v>PZ</v>
          </cell>
          <cell r="I4" t="str">
            <v>Verificado</v>
          </cell>
          <cell r="J4">
            <v>5750.5700000000006</v>
          </cell>
          <cell r="K4">
            <v>45862</v>
          </cell>
        </row>
        <row r="5">
          <cell r="A5" t="str">
            <v>2PZ cupcake</v>
          </cell>
          <cell r="B5" t="str">
            <v>2PZ cupcake</v>
          </cell>
          <cell r="C5">
            <v>189</v>
          </cell>
          <cell r="D5" t="str">
            <v>PZ</v>
          </cell>
          <cell r="E5">
            <v>1563.03</v>
          </cell>
          <cell r="F5">
            <v>8.27</v>
          </cell>
          <cell r="G5">
            <v>1250</v>
          </cell>
          <cell r="H5" t="str">
            <v>PZ</v>
          </cell>
          <cell r="I5" t="str">
            <v>Verificado</v>
          </cell>
          <cell r="J5">
            <v>10337.5</v>
          </cell>
          <cell r="K5">
            <v>45862</v>
          </cell>
        </row>
        <row r="6">
          <cell r="A6" t="str">
            <v>4PZCupcake</v>
          </cell>
          <cell r="B6" t="str">
            <v>4PZCupcake</v>
          </cell>
          <cell r="C6">
            <v>122</v>
          </cell>
          <cell r="D6" t="str">
            <v>PZ</v>
          </cell>
          <cell r="E6">
            <v>1277.3399999999999</v>
          </cell>
          <cell r="F6">
            <v>10.469999999999999</v>
          </cell>
          <cell r="G6">
            <v>1050</v>
          </cell>
          <cell r="H6" t="str">
            <v>PZ</v>
          </cell>
          <cell r="I6" t="str">
            <v>Verificado</v>
          </cell>
          <cell r="J6">
            <v>10993.499999999998</v>
          </cell>
          <cell r="K6">
            <v>45862</v>
          </cell>
        </row>
        <row r="7">
          <cell r="A7" t="str">
            <v>6PZ cupcake</v>
          </cell>
          <cell r="B7" t="str">
            <v>6PZ cupcake</v>
          </cell>
          <cell r="C7">
            <v>0</v>
          </cell>
          <cell r="D7" t="str">
            <v>PZ</v>
          </cell>
          <cell r="E7">
            <v>0</v>
          </cell>
          <cell r="F7">
            <v>0</v>
          </cell>
          <cell r="G7"/>
          <cell r="H7" t="str">
            <v>PZ</v>
          </cell>
          <cell r="I7" t="str">
            <v>Verificado</v>
          </cell>
          <cell r="J7">
            <v>0</v>
          </cell>
          <cell r="K7">
            <v>45862</v>
          </cell>
        </row>
        <row r="8">
          <cell r="A8" t="str">
            <v>Aceite</v>
          </cell>
          <cell r="B8" t="str">
            <v>Aceite Cristal Puro de Maiz (cartón con 12 envases de1 Lt)</v>
          </cell>
          <cell r="C8">
            <v>160</v>
          </cell>
          <cell r="D8" t="str">
            <v>LT</v>
          </cell>
          <cell r="E8">
            <v>6560</v>
          </cell>
          <cell r="F8">
            <v>41</v>
          </cell>
          <cell r="G8">
            <v>240</v>
          </cell>
          <cell r="H8" t="str">
            <v>LT</v>
          </cell>
          <cell r="I8" t="str">
            <v>Verificado</v>
          </cell>
          <cell r="J8">
            <v>9840</v>
          </cell>
          <cell r="K8">
            <v>46042</v>
          </cell>
        </row>
        <row r="9">
          <cell r="A9" t="str">
            <v>Ácido Cítrico</v>
          </cell>
          <cell r="B9" t="str">
            <v>Ácido cítrico</v>
          </cell>
          <cell r="C9">
            <v>5</v>
          </cell>
          <cell r="D9" t="str">
            <v>KG</v>
          </cell>
          <cell r="E9">
            <v>195</v>
          </cell>
          <cell r="F9">
            <v>39</v>
          </cell>
          <cell r="G9">
            <v>4</v>
          </cell>
          <cell r="H9" t="str">
            <v>KG</v>
          </cell>
          <cell r="I9" t="str">
            <v>Verificado</v>
          </cell>
          <cell r="J9">
            <v>156</v>
          </cell>
          <cell r="K9">
            <v>46042</v>
          </cell>
        </row>
        <row r="10">
          <cell r="A10" t="str">
            <v>Agua Purificada</v>
          </cell>
          <cell r="B10" t="str">
            <v>Garrafón de agua purificado de 19 litros</v>
          </cell>
          <cell r="C10">
            <v>171</v>
          </cell>
          <cell r="D10" t="str">
            <v>LT</v>
          </cell>
          <cell r="E10">
            <v>153</v>
          </cell>
          <cell r="F10">
            <v>0.89473684210526316</v>
          </cell>
          <cell r="G10">
            <v>12084</v>
          </cell>
          <cell r="H10" t="str">
            <v>LT</v>
          </cell>
          <cell r="I10" t="str">
            <v>Verificado</v>
          </cell>
          <cell r="J10">
            <v>10812</v>
          </cell>
          <cell r="K10">
            <v>46042</v>
          </cell>
        </row>
        <row r="11">
          <cell r="A11" t="str">
            <v>Almendra</v>
          </cell>
          <cell r="B11" t="str">
            <v>Almendra fileteada 0.906 KG</v>
          </cell>
          <cell r="C11">
            <v>10</v>
          </cell>
          <cell r="D11" t="str">
            <v>KG</v>
          </cell>
          <cell r="E11">
            <v>2560</v>
          </cell>
          <cell r="F11">
            <v>256</v>
          </cell>
          <cell r="G11">
            <v>0</v>
          </cell>
          <cell r="H11" t="str">
            <v>KG</v>
          </cell>
          <cell r="I11" t="str">
            <v>Verificado</v>
          </cell>
          <cell r="J11">
            <v>0</v>
          </cell>
          <cell r="K11">
            <v>46042</v>
          </cell>
        </row>
        <row r="12">
          <cell r="A12" t="str">
            <v>Almidón</v>
          </cell>
          <cell r="B12" t="str">
            <v>Saco de fécula de maíz IMSA C/25KG</v>
          </cell>
          <cell r="C12">
            <v>50</v>
          </cell>
          <cell r="D12" t="str">
            <v>KG</v>
          </cell>
          <cell r="E12">
            <v>1072</v>
          </cell>
          <cell r="F12">
            <v>21.44</v>
          </cell>
          <cell r="G12">
            <v>50</v>
          </cell>
          <cell r="H12" t="str">
            <v>KG</v>
          </cell>
          <cell r="I12" t="str">
            <v>Verificado</v>
          </cell>
          <cell r="J12">
            <v>1072</v>
          </cell>
          <cell r="K12">
            <v>46042</v>
          </cell>
        </row>
        <row r="13">
          <cell r="A13" t="str">
            <v>Aluminio Pay Ch</v>
          </cell>
          <cell r="B13" t="str">
            <v>Aluminio pay chico</v>
          </cell>
          <cell r="C13">
            <v>1000</v>
          </cell>
          <cell r="D13" t="str">
            <v>PZ</v>
          </cell>
          <cell r="E13">
            <v>6037.31</v>
          </cell>
          <cell r="F13">
            <v>6.0373100000000006</v>
          </cell>
          <cell r="G13">
            <v>2900</v>
          </cell>
          <cell r="H13" t="str">
            <v>PZ</v>
          </cell>
          <cell r="I13" t="str">
            <v>Verificado</v>
          </cell>
          <cell r="J13">
            <v>17508.199000000001</v>
          </cell>
          <cell r="K13">
            <v>46042</v>
          </cell>
        </row>
        <row r="14">
          <cell r="A14" t="str">
            <v>Alumino Pay G</v>
          </cell>
          <cell r="B14" t="str">
            <v>Aluminio pay grande</v>
          </cell>
          <cell r="C14">
            <v>300</v>
          </cell>
          <cell r="D14" t="str">
            <v>PZ</v>
          </cell>
          <cell r="E14">
            <v>4084.22</v>
          </cell>
          <cell r="F14">
            <v>13.614066666666666</v>
          </cell>
          <cell r="G14">
            <v>1499</v>
          </cell>
          <cell r="H14" t="str">
            <v>PZ</v>
          </cell>
          <cell r="I14" t="str">
            <v>Verificado</v>
          </cell>
          <cell r="J14">
            <v>20407.485933333333</v>
          </cell>
          <cell r="K14">
            <v>46042</v>
          </cell>
        </row>
        <row r="15">
          <cell r="A15" t="str">
            <v>Arandano</v>
          </cell>
          <cell r="B15" t="str">
            <v>Arandano KG</v>
          </cell>
          <cell r="C15">
            <v>15</v>
          </cell>
          <cell r="D15" t="str">
            <v>KG</v>
          </cell>
          <cell r="E15">
            <v>1800</v>
          </cell>
          <cell r="F15">
            <v>120</v>
          </cell>
          <cell r="G15">
            <v>0</v>
          </cell>
          <cell r="H15" t="str">
            <v>KG</v>
          </cell>
          <cell r="I15" t="str">
            <v>Verificado</v>
          </cell>
          <cell r="J15">
            <v>0</v>
          </cell>
          <cell r="K15">
            <v>46042</v>
          </cell>
        </row>
        <row r="16">
          <cell r="A16" t="str">
            <v>Avena</v>
          </cell>
          <cell r="B16" t="str">
            <v>Avena</v>
          </cell>
          <cell r="C16">
            <v>4</v>
          </cell>
          <cell r="D16" t="str">
            <v>KG</v>
          </cell>
          <cell r="E16">
            <v>107.12</v>
          </cell>
          <cell r="F16">
            <v>26.78</v>
          </cell>
          <cell r="G16"/>
          <cell r="H16" t="str">
            <v>KG</v>
          </cell>
          <cell r="I16" t="str">
            <v>Verificado</v>
          </cell>
          <cell r="J16">
            <v>0</v>
          </cell>
          <cell r="K16">
            <v>46024</v>
          </cell>
        </row>
        <row r="17">
          <cell r="A17" t="str">
            <v>Azúcar Estándar</v>
          </cell>
          <cell r="B17" t="str">
            <v>Azucar estándar granel (costal de 50 kg)</v>
          </cell>
          <cell r="C17">
            <v>50</v>
          </cell>
          <cell r="D17" t="str">
            <v>KG</v>
          </cell>
          <cell r="E17">
            <v>1020</v>
          </cell>
          <cell r="F17">
            <v>20.399999999999999</v>
          </cell>
          <cell r="G17">
            <v>300</v>
          </cell>
          <cell r="H17" t="str">
            <v>KG</v>
          </cell>
          <cell r="I17" t="str">
            <v>Verificado</v>
          </cell>
          <cell r="J17">
            <v>6120</v>
          </cell>
          <cell r="K17">
            <v>46042</v>
          </cell>
        </row>
        <row r="18">
          <cell r="A18" t="str">
            <v>Azucar Glass</v>
          </cell>
          <cell r="B18" t="str">
            <v>Configlass Ref. Bls. 5 kg (Empaque con 9 bolsas c/u 5 kg)</v>
          </cell>
          <cell r="C18">
            <v>550</v>
          </cell>
          <cell r="D18" t="str">
            <v>KG</v>
          </cell>
          <cell r="E18">
            <v>18518.759999999998</v>
          </cell>
          <cell r="F18">
            <v>33.670472727272724</v>
          </cell>
          <cell r="G18">
            <v>590</v>
          </cell>
          <cell r="H18" t="str">
            <v>KG</v>
          </cell>
          <cell r="I18" t="str">
            <v>Verificado</v>
          </cell>
          <cell r="J18">
            <v>19865.578909090906</v>
          </cell>
          <cell r="K18">
            <v>46042</v>
          </cell>
        </row>
        <row r="19">
          <cell r="A19" t="str">
            <v>Azucar Mascabado</v>
          </cell>
          <cell r="B19" t="str">
            <v>Azucar Mascabado</v>
          </cell>
          <cell r="C19">
            <v>30</v>
          </cell>
          <cell r="D19" t="str">
            <v>KG</v>
          </cell>
          <cell r="E19">
            <v>1554</v>
          </cell>
          <cell r="F19">
            <v>51.8</v>
          </cell>
          <cell r="G19">
            <v>24</v>
          </cell>
          <cell r="H19" t="str">
            <v>KG</v>
          </cell>
          <cell r="I19" t="str">
            <v>Verificado</v>
          </cell>
          <cell r="J19">
            <v>1243.1999999999998</v>
          </cell>
          <cell r="K19">
            <v>46042</v>
          </cell>
        </row>
        <row r="20">
          <cell r="A20" t="str">
            <v>Azucar Refinada</v>
          </cell>
          <cell r="B20" t="str">
            <v>Azucar Refinada</v>
          </cell>
          <cell r="C20">
            <v>25</v>
          </cell>
          <cell r="D20" t="str">
            <v>KG</v>
          </cell>
          <cell r="E20">
            <v>637.5</v>
          </cell>
          <cell r="F20">
            <v>25.5</v>
          </cell>
          <cell r="G20">
            <v>24</v>
          </cell>
          <cell r="H20" t="str">
            <v>KG</v>
          </cell>
          <cell r="I20" t="str">
            <v>Verificado</v>
          </cell>
          <cell r="J20">
            <v>612</v>
          </cell>
          <cell r="K20">
            <v>46042</v>
          </cell>
        </row>
        <row r="21">
          <cell r="A21" t="str">
            <v>Bactericida</v>
          </cell>
          <cell r="B21" t="str">
            <v>Bactericida</v>
          </cell>
          <cell r="C21">
            <v>22</v>
          </cell>
          <cell r="D21" t="str">
            <v>LT</v>
          </cell>
          <cell r="E21">
            <v>1640.01</v>
          </cell>
          <cell r="F21">
            <v>74.545909090909092</v>
          </cell>
          <cell r="G21">
            <v>32</v>
          </cell>
          <cell r="H21" t="str">
            <v>LT</v>
          </cell>
          <cell r="I21" t="str">
            <v>Verificado</v>
          </cell>
          <cell r="J21">
            <v>2385.4690909090909</v>
          </cell>
          <cell r="K21">
            <v>46024</v>
          </cell>
        </row>
        <row r="22">
          <cell r="A22" t="str">
            <v>Base Chantilly</v>
          </cell>
          <cell r="B22" t="str">
            <v>Galon de Whipn Top</v>
          </cell>
          <cell r="C22">
            <v>0</v>
          </cell>
          <cell r="D22" t="str">
            <v>LT</v>
          </cell>
          <cell r="E22">
            <v>0</v>
          </cell>
          <cell r="F22">
            <v>0</v>
          </cell>
          <cell r="G22"/>
          <cell r="H22" t="str">
            <v>LT</v>
          </cell>
          <cell r="I22" t="str">
            <v>Verificado</v>
          </cell>
          <cell r="J22">
            <v>0</v>
          </cell>
          <cell r="K22">
            <v>46024</v>
          </cell>
        </row>
        <row r="23">
          <cell r="A23" t="str">
            <v>Base Cheesecacke Grande</v>
          </cell>
          <cell r="B23" t="str">
            <v>Base color aluminio cheese cacke grande</v>
          </cell>
          <cell r="C23">
            <v>120</v>
          </cell>
          <cell r="D23" t="str">
            <v>PZ</v>
          </cell>
          <cell r="E23">
            <v>1630.8</v>
          </cell>
          <cell r="F23">
            <v>13.59</v>
          </cell>
          <cell r="G23">
            <v>120</v>
          </cell>
          <cell r="H23" t="str">
            <v>PZ</v>
          </cell>
          <cell r="I23" t="str">
            <v>Verificado</v>
          </cell>
          <cell r="J23">
            <v>1630.8</v>
          </cell>
          <cell r="K23">
            <v>46024</v>
          </cell>
        </row>
        <row r="24">
          <cell r="A24" t="str">
            <v>Base Cheesecake Chica</v>
          </cell>
          <cell r="B24" t="str">
            <v>Base color aluminio cheese cacke chica</v>
          </cell>
          <cell r="C24">
            <v>120</v>
          </cell>
          <cell r="D24" t="str">
            <v>PZ</v>
          </cell>
          <cell r="E24">
            <v>1519.2</v>
          </cell>
          <cell r="F24">
            <v>12.66</v>
          </cell>
          <cell r="G24">
            <v>120</v>
          </cell>
          <cell r="H24" t="str">
            <v>PZ</v>
          </cell>
          <cell r="I24" t="str">
            <v>Verificado</v>
          </cell>
          <cell r="J24">
            <v>1519.2</v>
          </cell>
          <cell r="K24">
            <v>46024</v>
          </cell>
        </row>
        <row r="25">
          <cell r="A25" t="str">
            <v>Bicarbonato</v>
          </cell>
          <cell r="B25" t="str">
            <v>Bicarbonato</v>
          </cell>
          <cell r="C25">
            <v>10</v>
          </cell>
          <cell r="D25" t="str">
            <v>KG</v>
          </cell>
          <cell r="E25">
            <v>384</v>
          </cell>
          <cell r="F25">
            <v>38.4</v>
          </cell>
          <cell r="G25">
            <v>8</v>
          </cell>
          <cell r="H25" t="str">
            <v>KG</v>
          </cell>
          <cell r="I25" t="str">
            <v>Verificado</v>
          </cell>
          <cell r="J25">
            <v>307.2</v>
          </cell>
          <cell r="K25">
            <v>46042</v>
          </cell>
        </row>
        <row r="26">
          <cell r="A26" t="str">
            <v>Bisagra Bollo 4 Piezas</v>
          </cell>
          <cell r="B26" t="str">
            <v>Bisagra para bollos de 4 piezas</v>
          </cell>
          <cell r="C26">
            <v>0</v>
          </cell>
          <cell r="D26" t="str">
            <v>PZ</v>
          </cell>
          <cell r="E26">
            <v>0</v>
          </cell>
          <cell r="F26">
            <v>0</v>
          </cell>
          <cell r="G26"/>
          <cell r="H26" t="str">
            <v>PZ</v>
          </cell>
          <cell r="I26" t="str">
            <v>Verificado</v>
          </cell>
          <cell r="J26">
            <v>0</v>
          </cell>
          <cell r="K26">
            <v>46024</v>
          </cell>
        </row>
        <row r="27">
          <cell r="A27" t="str">
            <v>BolsaCamisetaReb</v>
          </cell>
          <cell r="B27" t="str">
            <v>Anguiano Bolsa Camiseta Chica</v>
          </cell>
          <cell r="C27">
            <v>0</v>
          </cell>
          <cell r="D27" t="str">
            <v>KG</v>
          </cell>
          <cell r="E27">
            <v>0</v>
          </cell>
          <cell r="F27">
            <v>0</v>
          </cell>
          <cell r="G27"/>
          <cell r="H27" t="str">
            <v>KG</v>
          </cell>
          <cell r="I27" t="str">
            <v>Verificado</v>
          </cell>
          <cell r="J27">
            <v>0</v>
          </cell>
          <cell r="K27">
            <v>46024</v>
          </cell>
        </row>
        <row r="28">
          <cell r="A28" t="str">
            <v>Bubulubu</v>
          </cell>
          <cell r="B28" t="str">
            <v>Chocolate bubulubu</v>
          </cell>
          <cell r="C28">
            <v>0</v>
          </cell>
          <cell r="D28" t="str">
            <v>KG</v>
          </cell>
          <cell r="E28">
            <v>0</v>
          </cell>
          <cell r="F28">
            <v>0</v>
          </cell>
          <cell r="G28"/>
          <cell r="H28" t="str">
            <v>KG</v>
          </cell>
          <cell r="I28" t="str">
            <v>Verificado</v>
          </cell>
          <cell r="J28">
            <v>0</v>
          </cell>
          <cell r="K28">
            <v>46024</v>
          </cell>
        </row>
        <row r="29">
          <cell r="A29" t="str">
            <v>Caja Cartón Pastel Ch</v>
          </cell>
          <cell r="B29" t="str">
            <v>Cajas de cartón con logo (tamaño chico)</v>
          </cell>
          <cell r="C29">
            <v>1</v>
          </cell>
          <cell r="D29" t="str">
            <v>PZ</v>
          </cell>
          <cell r="E29">
            <v>13.640788000000001</v>
          </cell>
          <cell r="F29">
            <v>13.640788000000001</v>
          </cell>
          <cell r="G29">
            <v>161</v>
          </cell>
          <cell r="H29" t="str">
            <v>PZ</v>
          </cell>
          <cell r="I29" t="str">
            <v>Verificado</v>
          </cell>
          <cell r="J29">
            <v>2196.1668680000002</v>
          </cell>
          <cell r="K29">
            <v>46024</v>
          </cell>
        </row>
        <row r="30">
          <cell r="A30" t="str">
            <v>Caja Cartón Pastel Gde</v>
          </cell>
          <cell r="B30" t="str">
            <v>Cajas de cartón (tamaño grande)</v>
          </cell>
          <cell r="C30">
            <v>500</v>
          </cell>
          <cell r="D30" t="str">
            <v>PZ</v>
          </cell>
          <cell r="E30">
            <v>10040.33</v>
          </cell>
          <cell r="F30">
            <v>20.080659999999998</v>
          </cell>
          <cell r="G30">
            <v>200</v>
          </cell>
          <cell r="H30" t="str">
            <v>PZ</v>
          </cell>
          <cell r="I30" t="str">
            <v>Verificado</v>
          </cell>
          <cell r="J30">
            <v>4016.1319999999996</v>
          </cell>
          <cell r="K30">
            <v>46042</v>
          </cell>
        </row>
        <row r="31">
          <cell r="A31" t="str">
            <v>Caja Cheesecake Chica</v>
          </cell>
          <cell r="B31" t="str">
            <v>Caja chica cheese cacke</v>
          </cell>
          <cell r="C31">
            <v>1</v>
          </cell>
          <cell r="D31" t="str">
            <v>PZ</v>
          </cell>
          <cell r="E31">
            <v>11.646399999999998</v>
          </cell>
          <cell r="F31">
            <v>11.646399999999998</v>
          </cell>
          <cell r="G31">
            <v>94</v>
          </cell>
          <cell r="H31" t="str">
            <v>PZ</v>
          </cell>
          <cell r="I31" t="str">
            <v>Verificado</v>
          </cell>
          <cell r="J31">
            <v>1094.7615999999998</v>
          </cell>
          <cell r="K31">
            <v>46024</v>
          </cell>
        </row>
        <row r="32">
          <cell r="A32" t="str">
            <v>Caja Cheesecake Grande</v>
          </cell>
          <cell r="B32" t="str">
            <v>Caja grande cheese cacke</v>
          </cell>
          <cell r="C32">
            <v>1</v>
          </cell>
          <cell r="D32" t="str">
            <v>PZ</v>
          </cell>
          <cell r="E32">
            <v>10.718399999999999</v>
          </cell>
          <cell r="F32">
            <v>10.718399999999999</v>
          </cell>
          <cell r="G32">
            <v>94</v>
          </cell>
          <cell r="H32" t="str">
            <v>PZ</v>
          </cell>
          <cell r="I32" t="str">
            <v>Verificado</v>
          </cell>
          <cell r="J32">
            <v>1007.5296</v>
          </cell>
          <cell r="K32">
            <v>46024</v>
          </cell>
        </row>
        <row r="33">
          <cell r="A33" t="str">
            <v>Calahua</v>
          </cell>
          <cell r="B33" t="str">
            <v>Calahua Crema de Coco 6 piezas 1L c/u</v>
          </cell>
          <cell r="C33">
            <v>0</v>
          </cell>
          <cell r="D33" t="str">
            <v>LT</v>
          </cell>
          <cell r="E33">
            <v>0</v>
          </cell>
          <cell r="F33">
            <v>0</v>
          </cell>
          <cell r="G33"/>
          <cell r="H33" t="str">
            <v>LT</v>
          </cell>
          <cell r="I33" t="str">
            <v>Verificado</v>
          </cell>
          <cell r="J33">
            <v>0</v>
          </cell>
          <cell r="K33">
            <v>46024</v>
          </cell>
        </row>
        <row r="34">
          <cell r="A34" t="str">
            <v>Canela</v>
          </cell>
          <cell r="B34" t="str">
            <v>Canela (400 g)</v>
          </cell>
          <cell r="C34">
            <v>8.8000000000000007</v>
          </cell>
          <cell r="D34" t="str">
            <v>KG</v>
          </cell>
          <cell r="E34">
            <v>2579.96</v>
          </cell>
          <cell r="F34">
            <v>293.17727272727268</v>
          </cell>
          <cell r="G34">
            <v>5.6</v>
          </cell>
          <cell r="H34" t="str">
            <v>KG</v>
          </cell>
          <cell r="I34" t="str">
            <v>Verificado</v>
          </cell>
          <cell r="J34">
            <v>1641.792727272727</v>
          </cell>
          <cell r="K34">
            <v>46042</v>
          </cell>
        </row>
        <row r="35">
          <cell r="A35" t="str">
            <v>Capacillo</v>
          </cell>
          <cell r="B35" t="str">
            <v>Capacillo #74 Rosa C/10,000 pzs</v>
          </cell>
          <cell r="C35">
            <v>20000</v>
          </cell>
          <cell r="D35" t="str">
            <v>PZ</v>
          </cell>
          <cell r="E35">
            <v>8005.88</v>
          </cell>
          <cell r="F35">
            <v>0.40029399999999998</v>
          </cell>
          <cell r="G35">
            <v>20800</v>
          </cell>
          <cell r="H35" t="str">
            <v>PZ</v>
          </cell>
          <cell r="I35" t="str">
            <v>Verificado</v>
          </cell>
          <cell r="J35">
            <v>8326.1152000000002</v>
          </cell>
          <cell r="K35">
            <v>46042</v>
          </cell>
        </row>
        <row r="36">
          <cell r="A36" t="str">
            <v>Capacillo Mini #72</v>
          </cell>
          <cell r="B36" t="str">
            <v>Capacillo #72 Rosa C/10,000 pzs</v>
          </cell>
          <cell r="C36">
            <v>11500</v>
          </cell>
          <cell r="D36" t="str">
            <v>PZ</v>
          </cell>
          <cell r="E36">
            <v>4140</v>
          </cell>
          <cell r="F36">
            <v>0.36</v>
          </cell>
          <cell r="G36">
            <v>11500</v>
          </cell>
          <cell r="H36" t="str">
            <v>PZ</v>
          </cell>
          <cell r="I36" t="str">
            <v>Verificado</v>
          </cell>
          <cell r="J36">
            <v>4140</v>
          </cell>
          <cell r="K36">
            <v>46024</v>
          </cell>
        </row>
        <row r="37">
          <cell r="A37" t="str">
            <v>Charola 14 Pastel Grande</v>
          </cell>
          <cell r="B37" t="str">
            <v>Charola 14 Pastel Grande</v>
          </cell>
          <cell r="C37">
            <v>200</v>
          </cell>
          <cell r="D37" t="str">
            <v>PZ</v>
          </cell>
          <cell r="E37">
            <v>1698.77</v>
          </cell>
          <cell r="F37">
            <v>8.4938500000000001</v>
          </cell>
          <cell r="G37">
            <v>485</v>
          </cell>
          <cell r="H37" t="str">
            <v>PZ</v>
          </cell>
          <cell r="I37" t="str">
            <v>Verificado</v>
          </cell>
          <cell r="J37">
            <v>4119.5172499999999</v>
          </cell>
          <cell r="K37">
            <v>46042</v>
          </cell>
        </row>
        <row r="38">
          <cell r="A38" t="str">
            <v>Charola 3 Leches</v>
          </cell>
          <cell r="B38" t="str">
            <v>Charola 3 Leches Mediano</v>
          </cell>
          <cell r="C38">
            <v>0</v>
          </cell>
          <cell r="D38" t="str">
            <v>PZ</v>
          </cell>
          <cell r="E38">
            <v>0</v>
          </cell>
          <cell r="F38">
            <v>0</v>
          </cell>
          <cell r="G38"/>
          <cell r="H38" t="str">
            <v>PZ</v>
          </cell>
          <cell r="I38" t="str">
            <v>Verificado</v>
          </cell>
          <cell r="J38">
            <v>0</v>
          </cell>
          <cell r="K38">
            <v>46024</v>
          </cell>
        </row>
        <row r="39">
          <cell r="A39" t="str">
            <v>Chispas de Chocolate</v>
          </cell>
          <cell r="B39" t="str">
            <v>Chispas de Chocolate Semi Amargo</v>
          </cell>
          <cell r="C39">
            <v>7.5</v>
          </cell>
          <cell r="D39" t="str">
            <v>KG</v>
          </cell>
          <cell r="E39">
            <v>1894.31</v>
          </cell>
          <cell r="F39">
            <v>252.57466666666667</v>
          </cell>
          <cell r="G39">
            <v>2.5</v>
          </cell>
          <cell r="H39" t="str">
            <v>KG</v>
          </cell>
          <cell r="I39" t="str">
            <v>Verificado</v>
          </cell>
          <cell r="J39">
            <v>631.43666666666672</v>
          </cell>
          <cell r="K39">
            <v>46042</v>
          </cell>
        </row>
        <row r="40">
          <cell r="A40" t="str">
            <v>Chocolate Blanco Turin</v>
          </cell>
          <cell r="B40" t="str">
            <v>Turin Chocolate Blanco 1 KG</v>
          </cell>
          <cell r="C40">
            <v>5</v>
          </cell>
          <cell r="D40" t="str">
            <v>KG</v>
          </cell>
          <cell r="E40">
            <v>550</v>
          </cell>
          <cell r="F40">
            <v>110</v>
          </cell>
          <cell r="G40">
            <v>6.5</v>
          </cell>
          <cell r="H40" t="str">
            <v>KG</v>
          </cell>
          <cell r="I40" t="str">
            <v>Verificado</v>
          </cell>
          <cell r="J40">
            <v>715</v>
          </cell>
          <cell r="K40">
            <v>46042</v>
          </cell>
        </row>
        <row r="41">
          <cell r="A41" t="str">
            <v>Chocolate Original</v>
          </cell>
          <cell r="B41" t="str">
            <v>Chocolate Original Precio por Kg</v>
          </cell>
          <cell r="C41">
            <v>0</v>
          </cell>
          <cell r="D41" t="str">
            <v>KG</v>
          </cell>
          <cell r="E41">
            <v>0</v>
          </cell>
          <cell r="F41">
            <v>0</v>
          </cell>
          <cell r="G41"/>
          <cell r="H41" t="str">
            <v>KG</v>
          </cell>
          <cell r="I41" t="str">
            <v>Verificado</v>
          </cell>
          <cell r="J41">
            <v>0</v>
          </cell>
          <cell r="K41">
            <v>46024</v>
          </cell>
        </row>
        <row r="42">
          <cell r="A42" t="str">
            <v>Chocolate Semiamargo</v>
          </cell>
          <cell r="B42" t="str">
            <v>Confitier Semiamargo 16 KG</v>
          </cell>
          <cell r="C42">
            <v>16</v>
          </cell>
          <cell r="D42" t="str">
            <v>KG</v>
          </cell>
          <cell r="E42">
            <v>4510.08</v>
          </cell>
          <cell r="F42">
            <v>281.88</v>
          </cell>
          <cell r="G42">
            <v>19.91</v>
          </cell>
          <cell r="H42" t="str">
            <v>KG</v>
          </cell>
          <cell r="I42" t="str">
            <v>Verificado</v>
          </cell>
          <cell r="J42">
            <v>5612.2308000000003</v>
          </cell>
          <cell r="K42">
            <v>46042</v>
          </cell>
        </row>
        <row r="43">
          <cell r="A43" t="str">
            <v>Ciruela</v>
          </cell>
          <cell r="B43" t="str">
            <v>Ciruela 1.13 kg/bolsa</v>
          </cell>
          <cell r="C43">
            <v>0</v>
          </cell>
          <cell r="D43" t="str">
            <v>KG</v>
          </cell>
          <cell r="E43">
            <v>0</v>
          </cell>
          <cell r="F43">
            <v>0</v>
          </cell>
          <cell r="G43"/>
          <cell r="H43" t="str">
            <v>KG</v>
          </cell>
          <cell r="I43" t="str">
            <v>Verificado</v>
          </cell>
          <cell r="J43">
            <v>0</v>
          </cell>
          <cell r="K43">
            <v>46024</v>
          </cell>
        </row>
        <row r="44">
          <cell r="A44" t="str">
            <v>Cocktail de Frutas</v>
          </cell>
          <cell r="B44" t="str">
            <v>Cocktel de Frutas 1/850 Gr (12 pzs)</v>
          </cell>
          <cell r="C44">
            <v>20.399999999999999</v>
          </cell>
          <cell r="D44" t="str">
            <v>KG</v>
          </cell>
          <cell r="E44">
            <v>1371.88</v>
          </cell>
          <cell r="F44">
            <v>67.249019607843152</v>
          </cell>
          <cell r="G44">
            <v>22.1</v>
          </cell>
          <cell r="H44" t="str">
            <v>KG</v>
          </cell>
          <cell r="I44" t="str">
            <v>Verificado</v>
          </cell>
          <cell r="J44">
            <v>1486.2033333333338</v>
          </cell>
          <cell r="K44">
            <v>46024</v>
          </cell>
        </row>
        <row r="45">
          <cell r="A45" t="str">
            <v>Coco</v>
          </cell>
          <cell r="B45" t="str">
            <v>Coco Suave Rallado FSI-Dawn</v>
          </cell>
          <cell r="C45">
            <v>0</v>
          </cell>
          <cell r="D45" t="str">
            <v>KG</v>
          </cell>
          <cell r="E45">
            <v>0</v>
          </cell>
          <cell r="F45">
            <v>0</v>
          </cell>
          <cell r="G45"/>
          <cell r="H45" t="str">
            <v>KG</v>
          </cell>
          <cell r="I45" t="str">
            <v>Verificado</v>
          </cell>
          <cell r="J45">
            <v>0</v>
          </cell>
          <cell r="K45">
            <v>46024</v>
          </cell>
        </row>
        <row r="46">
          <cell r="A46" t="str">
            <v>Coco Rallado</v>
          </cell>
          <cell r="B46" t="str">
            <v>Coco Rallado</v>
          </cell>
          <cell r="C46">
            <v>10</v>
          </cell>
          <cell r="D46" t="str">
            <v>KG</v>
          </cell>
          <cell r="E46">
            <v>990</v>
          </cell>
          <cell r="F46">
            <v>99</v>
          </cell>
          <cell r="G46">
            <v>27</v>
          </cell>
          <cell r="H46" t="str">
            <v>KG</v>
          </cell>
          <cell r="I46" t="str">
            <v>Verificado</v>
          </cell>
          <cell r="J46">
            <v>2673</v>
          </cell>
          <cell r="K46">
            <v>46042</v>
          </cell>
        </row>
        <row r="47">
          <cell r="A47" t="str">
            <v>Cocoa</v>
          </cell>
          <cell r="B47" t="str">
            <v>Hershey Unsweetened Coca Powder Costal 5 kg</v>
          </cell>
          <cell r="C47">
            <v>25</v>
          </cell>
          <cell r="D47" t="str">
            <v>KG</v>
          </cell>
          <cell r="E47">
            <v>6075</v>
          </cell>
          <cell r="F47">
            <v>243</v>
          </cell>
          <cell r="G47">
            <v>28</v>
          </cell>
          <cell r="H47" t="str">
            <v>KG</v>
          </cell>
          <cell r="I47" t="str">
            <v>Verificado</v>
          </cell>
          <cell r="J47">
            <v>6804</v>
          </cell>
          <cell r="K47">
            <v>46042</v>
          </cell>
        </row>
        <row r="48">
          <cell r="A48" t="str">
            <v>Colorante Mermelada Rojo</v>
          </cell>
          <cell r="B48" t="str">
            <v>Colorante rojo</v>
          </cell>
          <cell r="C48">
            <v>3</v>
          </cell>
          <cell r="D48" t="str">
            <v>KG</v>
          </cell>
          <cell r="E48">
            <v>1215</v>
          </cell>
          <cell r="F48">
            <v>405</v>
          </cell>
          <cell r="G48">
            <v>2</v>
          </cell>
          <cell r="H48" t="str">
            <v>KG</v>
          </cell>
          <cell r="I48" t="str">
            <v>Verificado</v>
          </cell>
          <cell r="J48">
            <v>810</v>
          </cell>
          <cell r="K48">
            <v>46042</v>
          </cell>
        </row>
        <row r="49">
          <cell r="A49" t="str">
            <v>Colorante Rojo</v>
          </cell>
          <cell r="B49" t="str">
            <v>Colorante en gel color rojo (Super Ed)</v>
          </cell>
          <cell r="C49">
            <v>0.62</v>
          </cell>
          <cell r="D49" t="str">
            <v>KG</v>
          </cell>
          <cell r="E49">
            <v>313.20999999999998</v>
          </cell>
          <cell r="F49">
            <v>505.17741935483866</v>
          </cell>
          <cell r="G49"/>
          <cell r="H49" t="str">
            <v>KG</v>
          </cell>
          <cell r="I49" t="str">
            <v>Verificado</v>
          </cell>
          <cell r="J49">
            <v>0</v>
          </cell>
          <cell r="K49">
            <v>46042</v>
          </cell>
        </row>
        <row r="50">
          <cell r="A50" t="str">
            <v>Corazon Perla</v>
          </cell>
          <cell r="C50">
            <v>0</v>
          </cell>
          <cell r="D50" t="str">
            <v>KG</v>
          </cell>
          <cell r="E50">
            <v>0</v>
          </cell>
          <cell r="F50">
            <v>0</v>
          </cell>
          <cell r="G50"/>
          <cell r="H50" t="str">
            <v>KG</v>
          </cell>
          <cell r="I50" t="str">
            <v>Verificado</v>
          </cell>
          <cell r="J50">
            <v>0</v>
          </cell>
          <cell r="K50">
            <v>45940</v>
          </cell>
        </row>
        <row r="51">
          <cell r="A51" t="str">
            <v>Crema Lotus</v>
          </cell>
          <cell r="B51" t="str">
            <v>Crema Lotus 8 KG</v>
          </cell>
          <cell r="C51">
            <v>8</v>
          </cell>
          <cell r="D51" t="str">
            <v>KG</v>
          </cell>
          <cell r="E51">
            <v>2525.73</v>
          </cell>
          <cell r="F51">
            <v>315.71625</v>
          </cell>
          <cell r="G51">
            <v>41</v>
          </cell>
          <cell r="H51" t="str">
            <v>KG</v>
          </cell>
          <cell r="I51" t="str">
            <v>Verificado</v>
          </cell>
          <cell r="J51">
            <v>12944.366250000001</v>
          </cell>
          <cell r="K51">
            <v>46042</v>
          </cell>
        </row>
        <row r="52">
          <cell r="A52" t="str">
            <v>Crunch Barra</v>
          </cell>
          <cell r="B52" t="str">
            <v>Crunch en barra paquete de 16 pz</v>
          </cell>
          <cell r="C52">
            <v>0</v>
          </cell>
          <cell r="D52" t="str">
            <v>PZ</v>
          </cell>
          <cell r="E52">
            <v>0</v>
          </cell>
          <cell r="F52">
            <v>0</v>
          </cell>
          <cell r="G52"/>
          <cell r="H52" t="str">
            <v>PZ</v>
          </cell>
          <cell r="I52" t="str">
            <v>Verificado</v>
          </cell>
          <cell r="J52">
            <v>0</v>
          </cell>
          <cell r="K52">
            <v>46024</v>
          </cell>
        </row>
        <row r="53">
          <cell r="A53" t="str">
            <v>Crunch Rocks</v>
          </cell>
          <cell r="B53" t="str">
            <v>Crunch Rocks Chocolate Bolsa 4x2.5kg Caja</v>
          </cell>
          <cell r="C53">
            <v>10</v>
          </cell>
          <cell r="D53" t="str">
            <v>KG</v>
          </cell>
          <cell r="E53">
            <v>3198.29</v>
          </cell>
          <cell r="F53">
            <v>319.82900000000001</v>
          </cell>
          <cell r="G53">
            <v>22.5</v>
          </cell>
          <cell r="H53" t="str">
            <v>KG</v>
          </cell>
          <cell r="I53" t="str">
            <v>Verificado</v>
          </cell>
          <cell r="J53">
            <v>7196.1525000000001</v>
          </cell>
          <cell r="K53">
            <v>46042</v>
          </cell>
        </row>
        <row r="54">
          <cell r="A54" t="str">
            <v>Crunch Trozos</v>
          </cell>
          <cell r="B54" t="str">
            <v>Crunch Chocolate Trozos 9 KG</v>
          </cell>
          <cell r="C54">
            <v>18</v>
          </cell>
          <cell r="D54" t="str">
            <v>KG</v>
          </cell>
          <cell r="E54">
            <v>4752.3999999999996</v>
          </cell>
          <cell r="F54">
            <v>264.02222222222218</v>
          </cell>
          <cell r="G54">
            <v>45</v>
          </cell>
          <cell r="H54" t="str">
            <v>KG</v>
          </cell>
          <cell r="I54" t="str">
            <v>Verificado</v>
          </cell>
          <cell r="J54">
            <v>11880.999999999998</v>
          </cell>
          <cell r="K54">
            <v>46042</v>
          </cell>
        </row>
        <row r="55">
          <cell r="A55" t="str">
            <v>Cuchara Fresas</v>
          </cell>
          <cell r="B55" t="str">
            <v>Fantasy Cuchara Coctelera</v>
          </cell>
          <cell r="C55">
            <v>3000</v>
          </cell>
          <cell r="D55" t="str">
            <v>Unidad</v>
          </cell>
          <cell r="E55">
            <v>1139.99</v>
          </cell>
          <cell r="F55">
            <v>0.37999666666666665</v>
          </cell>
          <cell r="G55">
            <v>169</v>
          </cell>
          <cell r="H55" t="str">
            <v>UN</v>
          </cell>
          <cell r="I55" t="str">
            <v>Verificado</v>
          </cell>
          <cell r="J55">
            <v>64.219436666666667</v>
          </cell>
          <cell r="K55">
            <v>46042</v>
          </cell>
        </row>
        <row r="56">
          <cell r="A56" t="str">
            <v>Cuchara Rebanada</v>
          </cell>
          <cell r="B56" t="str">
            <v>Fantasy Cuchara Fantasy Chica</v>
          </cell>
          <cell r="C56">
            <v>6000</v>
          </cell>
          <cell r="D56" t="str">
            <v>Unidad</v>
          </cell>
          <cell r="E56">
            <v>780</v>
          </cell>
          <cell r="F56">
            <v>0.13</v>
          </cell>
          <cell r="G56">
            <v>209</v>
          </cell>
          <cell r="H56" t="str">
            <v>UN</v>
          </cell>
          <cell r="I56" t="str">
            <v>Verificado</v>
          </cell>
          <cell r="J56">
            <v>27.17</v>
          </cell>
          <cell r="K56">
            <v>46042</v>
          </cell>
        </row>
        <row r="57">
          <cell r="A57" t="str">
            <v>Deleite Chocolate</v>
          </cell>
          <cell r="B57" t="str">
            <v>LINEA DELEITE CHOCOLATE CREME CAKE</v>
          </cell>
          <cell r="C57">
            <v>720</v>
          </cell>
          <cell r="D57" t="str">
            <v>KG</v>
          </cell>
          <cell r="E57">
            <v>38896</v>
          </cell>
          <cell r="F57">
            <v>54.022222222222226</v>
          </cell>
          <cell r="G57">
            <v>120</v>
          </cell>
          <cell r="H57" t="str">
            <v>KG</v>
          </cell>
          <cell r="I57" t="str">
            <v>Verificado</v>
          </cell>
          <cell r="J57">
            <v>6482.666666666667</v>
          </cell>
          <cell r="K57">
            <v>46042</v>
          </cell>
        </row>
        <row r="58">
          <cell r="A58" t="str">
            <v>Desechable 8oz</v>
          </cell>
          <cell r="B58" t="str">
            <v>Desechable 8oz</v>
          </cell>
          <cell r="C58">
            <v>0</v>
          </cell>
          <cell r="D58" t="str">
            <v>PZ</v>
          </cell>
          <cell r="E58">
            <v>0</v>
          </cell>
          <cell r="F58">
            <v>0</v>
          </cell>
          <cell r="G58"/>
          <cell r="H58" t="str">
            <v>PZ</v>
          </cell>
          <cell r="I58" t="str">
            <v>Verificado</v>
          </cell>
          <cell r="J58">
            <v>0</v>
          </cell>
          <cell r="K58">
            <v>46024</v>
          </cell>
        </row>
        <row r="59">
          <cell r="A59" t="str">
            <v>Desmoldante</v>
          </cell>
          <cell r="B59" t="str">
            <v>Desmoldante</v>
          </cell>
          <cell r="C59">
            <v>0</v>
          </cell>
          <cell r="D59" t="str">
            <v>LT</v>
          </cell>
          <cell r="E59">
            <v>2399</v>
          </cell>
          <cell r="F59">
            <v>0</v>
          </cell>
          <cell r="G59">
            <v>0</v>
          </cell>
          <cell r="H59" t="str">
            <v>LT</v>
          </cell>
          <cell r="I59" t="str">
            <v>Verificado</v>
          </cell>
          <cell r="J59">
            <v>0</v>
          </cell>
          <cell r="K59">
            <v>46024</v>
          </cell>
        </row>
        <row r="60">
          <cell r="A60" t="str">
            <v>Devils Chocolate</v>
          </cell>
          <cell r="B60" t="str">
            <v>RICHCRM CHOC CK BS (saco de 22.68 kg)</v>
          </cell>
          <cell r="C60">
            <v>0</v>
          </cell>
          <cell r="D60" t="str">
            <v>KG</v>
          </cell>
          <cell r="E60">
            <v>0</v>
          </cell>
          <cell r="F60">
            <v>0</v>
          </cell>
          <cell r="G60"/>
          <cell r="H60" t="str">
            <v>KG</v>
          </cell>
          <cell r="I60" t="str">
            <v>Verificado</v>
          </cell>
          <cell r="J60">
            <v>0</v>
          </cell>
          <cell r="K60">
            <v>46024</v>
          </cell>
        </row>
        <row r="61">
          <cell r="A61" t="str">
            <v>Domo 3 Leches</v>
          </cell>
          <cell r="B61" t="str">
            <v>Domo 3 Leches Mediano Tapa y Charola</v>
          </cell>
          <cell r="C61">
            <v>200</v>
          </cell>
          <cell r="D61" t="str">
            <v>PZ</v>
          </cell>
          <cell r="E61">
            <v>2494</v>
          </cell>
          <cell r="F61">
            <v>12.47</v>
          </cell>
          <cell r="G61">
            <v>545</v>
          </cell>
          <cell r="H61" t="str">
            <v>PZ</v>
          </cell>
          <cell r="I61" t="str">
            <v>Verificado</v>
          </cell>
          <cell r="J61">
            <v>6796.1500000000005</v>
          </cell>
          <cell r="K61">
            <v>46042</v>
          </cell>
        </row>
        <row r="62">
          <cell r="A62" t="str">
            <v>Domo 3 Leches Individual</v>
          </cell>
          <cell r="B62" t="str">
            <v>Domo 3 Leches Individual</v>
          </cell>
          <cell r="C62">
            <v>300</v>
          </cell>
          <cell r="D62" t="str">
            <v>PZ</v>
          </cell>
          <cell r="E62">
            <v>1375.1</v>
          </cell>
          <cell r="F62">
            <v>4.5836666666666668</v>
          </cell>
          <cell r="G62">
            <v>1143</v>
          </cell>
          <cell r="H62" t="str">
            <v>PZ</v>
          </cell>
          <cell r="I62" t="str">
            <v>Verificado</v>
          </cell>
          <cell r="J62">
            <v>5239.1310000000003</v>
          </cell>
          <cell r="K62">
            <v>46042</v>
          </cell>
        </row>
        <row r="63">
          <cell r="A63" t="str">
            <v>Domo Bollo 6 Piezas</v>
          </cell>
          <cell r="B63" t="str">
            <v>Bollos (capacidad de 6)</v>
          </cell>
          <cell r="C63">
            <v>0</v>
          </cell>
          <cell r="D63" t="str">
            <v>PZ</v>
          </cell>
          <cell r="E63">
            <v>0</v>
          </cell>
          <cell r="F63">
            <v>0</v>
          </cell>
          <cell r="G63"/>
          <cell r="H63" t="str">
            <v>PZ</v>
          </cell>
          <cell r="I63" t="str">
            <v>Verificado</v>
          </cell>
          <cell r="J63">
            <v>0</v>
          </cell>
          <cell r="K63">
            <v>46024</v>
          </cell>
        </row>
        <row r="64">
          <cell r="A64" t="str">
            <v>Domo Cheesecake Individual</v>
          </cell>
          <cell r="B64" t="str">
            <v>Domo Cheesecake Individual</v>
          </cell>
          <cell r="C64">
            <v>300</v>
          </cell>
          <cell r="D64" t="str">
            <v>PZ</v>
          </cell>
          <cell r="E64">
            <v>1800</v>
          </cell>
          <cell r="F64">
            <v>6</v>
          </cell>
          <cell r="G64"/>
          <cell r="H64" t="str">
            <v>PZ</v>
          </cell>
          <cell r="I64" t="str">
            <v>Verificado</v>
          </cell>
          <cell r="J64">
            <v>0</v>
          </cell>
          <cell r="K64">
            <v>46042</v>
          </cell>
        </row>
        <row r="65">
          <cell r="A65" t="str">
            <v>Domo Chico C85</v>
          </cell>
          <cell r="B65" t="str">
            <v>Plato y domo para pastel Mini (chico)</v>
          </cell>
          <cell r="C65">
            <v>1000</v>
          </cell>
          <cell r="D65" t="str">
            <v>PZ</v>
          </cell>
          <cell r="E65">
            <v>12642.49</v>
          </cell>
          <cell r="F65">
            <v>12.64249</v>
          </cell>
          <cell r="G65">
            <v>1761</v>
          </cell>
          <cell r="H65" t="str">
            <v>PZ</v>
          </cell>
          <cell r="I65" t="str">
            <v>Verificado</v>
          </cell>
          <cell r="J65">
            <v>22263.424890000002</v>
          </cell>
          <cell r="K65">
            <v>46042</v>
          </cell>
        </row>
        <row r="66">
          <cell r="A66" t="str">
            <v>Domo Cuadrado Chico</v>
          </cell>
          <cell r="B66" t="str">
            <v>Empaque cuadrado (brownie)</v>
          </cell>
          <cell r="C66">
            <v>500</v>
          </cell>
          <cell r="D66" t="str">
            <v>PZ</v>
          </cell>
          <cell r="E66">
            <v>1160.97</v>
          </cell>
          <cell r="F66">
            <v>2.3219400000000001</v>
          </cell>
          <cell r="G66">
            <v>1500</v>
          </cell>
          <cell r="H66" t="str">
            <v>PZ</v>
          </cell>
          <cell r="I66" t="str">
            <v>Verificado</v>
          </cell>
          <cell r="J66">
            <v>3482.9100000000003</v>
          </cell>
          <cell r="K66">
            <v>46024</v>
          </cell>
        </row>
        <row r="67">
          <cell r="A67" t="str">
            <v>Domo Grande Rectangular</v>
          </cell>
          <cell r="B67" t="str">
            <v>Caja para empanadas</v>
          </cell>
          <cell r="C67">
            <v>250</v>
          </cell>
          <cell r="D67" t="str">
            <v>PZ</v>
          </cell>
          <cell r="E67">
            <v>1383.87</v>
          </cell>
          <cell r="F67">
            <v>5.5354799999999997</v>
          </cell>
          <cell r="G67">
            <v>650</v>
          </cell>
          <cell r="H67" t="str">
            <v>PZ</v>
          </cell>
          <cell r="I67" t="str">
            <v>Verificado</v>
          </cell>
          <cell r="J67">
            <v>3598.0619999999999</v>
          </cell>
          <cell r="K67">
            <v>45995</v>
          </cell>
        </row>
        <row r="68">
          <cell r="A68" t="str">
            <v>Domo Invidivual</v>
          </cell>
          <cell r="B68" t="str">
            <v>Contenedor tipo domo p/mini-pastel (presentación individual)</v>
          </cell>
          <cell r="C68">
            <v>500</v>
          </cell>
          <cell r="D68" t="str">
            <v>PZ</v>
          </cell>
          <cell r="E68">
            <v>1090.78</v>
          </cell>
          <cell r="F68">
            <v>2.1815600000000002</v>
          </cell>
          <cell r="G68">
            <v>1500</v>
          </cell>
          <cell r="H68" t="str">
            <v>PZ</v>
          </cell>
          <cell r="I68" t="str">
            <v>Verificado</v>
          </cell>
          <cell r="J68">
            <v>3272.34</v>
          </cell>
          <cell r="K68">
            <v>45961</v>
          </cell>
        </row>
        <row r="69">
          <cell r="A69" t="str">
            <v>Domo Mediano C105</v>
          </cell>
          <cell r="B69" t="str">
            <v>Contenedor tipo domo pastel chico (alto)</v>
          </cell>
          <cell r="C69">
            <v>1000</v>
          </cell>
          <cell r="D69" t="str">
            <v>PZ</v>
          </cell>
          <cell r="E69">
            <v>14612.4</v>
          </cell>
          <cell r="F69">
            <v>14.612399999999999</v>
          </cell>
          <cell r="G69">
            <v>2819</v>
          </cell>
          <cell r="H69" t="str">
            <v>PZ</v>
          </cell>
          <cell r="I69" t="str">
            <v>Verificado</v>
          </cell>
          <cell r="J69">
            <v>41192.355599999995</v>
          </cell>
          <cell r="K69">
            <v>46042</v>
          </cell>
        </row>
        <row r="70">
          <cell r="A70" t="str">
            <v>Domo Mini C15N</v>
          </cell>
          <cell r="B70" t="str">
            <v>Domo Mini C15N</v>
          </cell>
          <cell r="C70">
            <v>500</v>
          </cell>
          <cell r="D70" t="str">
            <v>PZ</v>
          </cell>
          <cell r="E70">
            <v>1862.73</v>
          </cell>
          <cell r="F70">
            <v>3.72546</v>
          </cell>
          <cell r="G70">
            <v>218</v>
          </cell>
          <cell r="H70" t="str">
            <v>PZ</v>
          </cell>
          <cell r="I70" t="str">
            <v>Verificado</v>
          </cell>
          <cell r="J70">
            <v>812.15027999999995</v>
          </cell>
          <cell r="K70">
            <v>46042</v>
          </cell>
        </row>
        <row r="71">
          <cell r="A71" t="str">
            <v>Domo Pay Ch</v>
          </cell>
          <cell r="B71" t="str">
            <v>Empaque pay chico</v>
          </cell>
          <cell r="C71">
            <v>500</v>
          </cell>
          <cell r="D71" t="str">
            <v>PZ</v>
          </cell>
          <cell r="E71">
            <v>3654.97</v>
          </cell>
          <cell r="F71">
            <v>7.3099399999999992</v>
          </cell>
          <cell r="G71">
            <v>1080</v>
          </cell>
          <cell r="H71" t="str">
            <v>PZ</v>
          </cell>
          <cell r="I71" t="str">
            <v>Verificado</v>
          </cell>
          <cell r="J71">
            <v>7894.7351999999992</v>
          </cell>
          <cell r="K71">
            <v>46042</v>
          </cell>
        </row>
        <row r="72">
          <cell r="A72" t="str">
            <v>Domo Pay G</v>
          </cell>
          <cell r="B72" t="str">
            <v>Empaque pay grande</v>
          </cell>
          <cell r="C72">
            <v>100</v>
          </cell>
          <cell r="D72" t="str">
            <v>PZ</v>
          </cell>
          <cell r="E72">
            <v>1247.53</v>
          </cell>
          <cell r="F72">
            <v>12.475299999999999</v>
          </cell>
          <cell r="G72">
            <v>1221</v>
          </cell>
          <cell r="H72" t="str">
            <v>PZ</v>
          </cell>
          <cell r="I72" t="str">
            <v>Verificado</v>
          </cell>
          <cell r="J72">
            <v>15232.341299999998</v>
          </cell>
          <cell r="K72">
            <v>46042</v>
          </cell>
        </row>
        <row r="73">
          <cell r="A73" t="str">
            <v>Dona Dawn</v>
          </cell>
          <cell r="B73" t="str">
            <v>Dona Dawn</v>
          </cell>
          <cell r="C73">
            <v>720</v>
          </cell>
          <cell r="D73" t="str">
            <v>PZ</v>
          </cell>
          <cell r="E73">
            <v>3921.51</v>
          </cell>
          <cell r="F73">
            <v>5.4465416666666666</v>
          </cell>
          <cell r="G73">
            <v>0</v>
          </cell>
          <cell r="H73" t="str">
            <v>PZ</v>
          </cell>
          <cell r="I73" t="str">
            <v>Verificado</v>
          </cell>
          <cell r="J73">
            <v>0</v>
          </cell>
          <cell r="K73">
            <v>46024</v>
          </cell>
        </row>
        <row r="74">
          <cell r="A74" t="str">
            <v>Dulce de Leche</v>
          </cell>
          <cell r="B74" t="str">
            <v>Nestlé La Lechera Dulce de Leche 4x4.5 kg</v>
          </cell>
          <cell r="C74">
            <v>8</v>
          </cell>
          <cell r="D74" t="str">
            <v>KG</v>
          </cell>
          <cell r="E74">
            <v>912</v>
          </cell>
          <cell r="F74">
            <v>114</v>
          </cell>
          <cell r="G74">
            <v>18.5</v>
          </cell>
          <cell r="H74" t="str">
            <v>KG</v>
          </cell>
          <cell r="I74" t="str">
            <v>Verificado</v>
          </cell>
          <cell r="J74">
            <v>2109</v>
          </cell>
          <cell r="K74">
            <v>46042</v>
          </cell>
        </row>
        <row r="75">
          <cell r="A75" t="str">
            <v>Durazno</v>
          </cell>
          <cell r="B75" t="str">
            <v>Durazno en Mitades caja de 12/820 Gr</v>
          </cell>
          <cell r="C75">
            <v>1</v>
          </cell>
          <cell r="D75" t="str">
            <v>KG</v>
          </cell>
          <cell r="E75">
            <v>60.08</v>
          </cell>
          <cell r="F75">
            <v>60.08</v>
          </cell>
          <cell r="G75"/>
          <cell r="H75" t="str">
            <v>KG</v>
          </cell>
          <cell r="I75" t="str">
            <v>Verificado</v>
          </cell>
          <cell r="J75">
            <v>0</v>
          </cell>
          <cell r="K75">
            <v>46024</v>
          </cell>
        </row>
        <row r="76">
          <cell r="A76" t="str">
            <v>Esencia de Naranja</v>
          </cell>
          <cell r="B76" t="str">
            <v>Esencia de Naranja</v>
          </cell>
          <cell r="C76">
            <v>0.06</v>
          </cell>
          <cell r="D76" t="str">
            <v>LT</v>
          </cell>
          <cell r="E76">
            <v>56</v>
          </cell>
          <cell r="F76">
            <v>933.33333333333337</v>
          </cell>
          <cell r="G76"/>
          <cell r="H76" t="str">
            <v>LT</v>
          </cell>
          <cell r="I76" t="str">
            <v>Verificado</v>
          </cell>
          <cell r="J76">
            <v>0</v>
          </cell>
          <cell r="K76">
            <v>46024</v>
          </cell>
        </row>
        <row r="77">
          <cell r="A77" t="str">
            <v>Especial Devils</v>
          </cell>
          <cell r="B77" t="str">
            <v>PST BS DELUXE DEVILS FOO (saco de 22.68kg)</v>
          </cell>
          <cell r="C77">
            <v>0</v>
          </cell>
          <cell r="D77" t="str">
            <v>KG</v>
          </cell>
          <cell r="E77">
            <v>0</v>
          </cell>
          <cell r="F77">
            <v>0</v>
          </cell>
          <cell r="G77"/>
          <cell r="H77" t="str">
            <v>KG</v>
          </cell>
          <cell r="I77" t="str">
            <v>Verificado</v>
          </cell>
          <cell r="J77">
            <v>0</v>
          </cell>
          <cell r="K77">
            <v>46024</v>
          </cell>
        </row>
        <row r="78">
          <cell r="A78" t="str">
            <v>Etiqueta Aviso</v>
          </cell>
          <cell r="B78" t="str">
            <v xml:space="preserve">Etiqueta Aviso </v>
          </cell>
          <cell r="C78">
            <v>10000</v>
          </cell>
          <cell r="D78" t="str">
            <v>PZ</v>
          </cell>
          <cell r="E78">
            <v>5568</v>
          </cell>
          <cell r="F78">
            <v>0.55679999999999996</v>
          </cell>
          <cell r="G78">
            <v>5239</v>
          </cell>
          <cell r="H78" t="str">
            <v>PZ</v>
          </cell>
          <cell r="I78" t="str">
            <v>Verificado</v>
          </cell>
          <cell r="J78">
            <v>2917.0751999999998</v>
          </cell>
          <cell r="K78">
            <v>46042</v>
          </cell>
        </row>
        <row r="79">
          <cell r="A79" t="str">
            <v>Etiqueta Cuadrada</v>
          </cell>
          <cell r="B79" t="str">
            <v>Etiqueta Cuadrada Celebrando Dulces Momentos</v>
          </cell>
          <cell r="C79">
            <v>1</v>
          </cell>
          <cell r="D79" t="str">
            <v>PZ</v>
          </cell>
          <cell r="E79">
            <v>0.49880000000000002</v>
          </cell>
          <cell r="F79">
            <v>0.49880000000000002</v>
          </cell>
          <cell r="G79"/>
          <cell r="H79" t="str">
            <v>PZ</v>
          </cell>
          <cell r="I79" t="str">
            <v>Verificado</v>
          </cell>
          <cell r="J79">
            <v>0</v>
          </cell>
          <cell r="K79">
            <v>46024</v>
          </cell>
        </row>
        <row r="80">
          <cell r="A80" t="str">
            <v>EtiquetaChica</v>
          </cell>
          <cell r="B80" t="str">
            <v>Etiqueta Chica</v>
          </cell>
          <cell r="C80">
            <v>8000</v>
          </cell>
          <cell r="D80" t="str">
            <v>PZ</v>
          </cell>
          <cell r="E80">
            <v>2041.6</v>
          </cell>
          <cell r="F80">
            <v>0.25519999999999998</v>
          </cell>
          <cell r="G80">
            <v>5500</v>
          </cell>
          <cell r="H80" t="str">
            <v>PZ</v>
          </cell>
          <cell r="I80" t="str">
            <v>Verificado</v>
          </cell>
          <cell r="J80">
            <v>1403.6</v>
          </cell>
          <cell r="K80">
            <v>46042</v>
          </cell>
        </row>
        <row r="81">
          <cell r="A81" t="str">
            <v>EtiquetaGrande</v>
          </cell>
          <cell r="B81" t="str">
            <v>Etiqueta Grande</v>
          </cell>
          <cell r="C81">
            <v>5500</v>
          </cell>
          <cell r="D81" t="str">
            <v>PZ</v>
          </cell>
          <cell r="E81">
            <v>2360.6</v>
          </cell>
          <cell r="F81">
            <v>0.42919999999999997</v>
          </cell>
          <cell r="G81">
            <v>17000</v>
          </cell>
          <cell r="H81" t="str">
            <v>PZ</v>
          </cell>
          <cell r="I81" t="str">
            <v>Verificado</v>
          </cell>
          <cell r="J81">
            <v>7296.4</v>
          </cell>
          <cell r="K81">
            <v>46042</v>
          </cell>
        </row>
        <row r="82">
          <cell r="A82" t="str">
            <v>Fresa</v>
          </cell>
          <cell r="B82" t="str">
            <v>Caja de fresas (1 caja de 5-6 kg a $300)</v>
          </cell>
          <cell r="C82">
            <v>133.18</v>
          </cell>
          <cell r="D82" t="str">
            <v>Kg</v>
          </cell>
          <cell r="E82">
            <v>12000</v>
          </cell>
          <cell r="F82">
            <v>90.103619162036338</v>
          </cell>
          <cell r="G82">
            <v>40</v>
          </cell>
          <cell r="H82" t="str">
            <v>KG</v>
          </cell>
          <cell r="I82" t="str">
            <v>Verificado</v>
          </cell>
          <cell r="J82">
            <v>3604.1447664814536</v>
          </cell>
          <cell r="K82">
            <v>46042</v>
          </cell>
        </row>
        <row r="83">
          <cell r="A83" t="str">
            <v>Galleta Lotus</v>
          </cell>
          <cell r="B83" t="str">
            <v>Galleta Lotus (barritas, consideradas en kg)</v>
          </cell>
          <cell r="C83">
            <v>2.5</v>
          </cell>
          <cell r="D83" t="str">
            <v>KG</v>
          </cell>
          <cell r="E83">
            <v>660.87</v>
          </cell>
          <cell r="F83">
            <v>264.34800000000001</v>
          </cell>
          <cell r="G83">
            <v>14.5</v>
          </cell>
          <cell r="H83" t="str">
            <v>KG</v>
          </cell>
          <cell r="I83" t="str">
            <v>Verificado</v>
          </cell>
          <cell r="J83">
            <v>3833.0460000000003</v>
          </cell>
          <cell r="K83">
            <v>46042</v>
          </cell>
        </row>
        <row r="84">
          <cell r="A84" t="str">
            <v>Galleta María</v>
          </cell>
          <cell r="B84" t="str">
            <v>Galletas Gamesa Marías (Pieza 170 gr)</v>
          </cell>
          <cell r="C84">
            <v>264</v>
          </cell>
          <cell r="D84" t="str">
            <v>PZ</v>
          </cell>
          <cell r="E84">
            <v>3666.96</v>
          </cell>
          <cell r="F84">
            <v>13.89</v>
          </cell>
          <cell r="G84">
            <v>132</v>
          </cell>
          <cell r="H84" t="str">
            <v>PZ</v>
          </cell>
          <cell r="I84" t="str">
            <v>Verificado</v>
          </cell>
          <cell r="J84">
            <v>1833.48</v>
          </cell>
          <cell r="K84">
            <v>46042</v>
          </cell>
        </row>
        <row r="85">
          <cell r="A85" t="str">
            <v>Galleta Molida Lotus</v>
          </cell>
          <cell r="B85" t="str">
            <v>Galleta Molida Lotus</v>
          </cell>
          <cell r="C85">
            <v>12</v>
          </cell>
          <cell r="D85" t="str">
            <v>KG</v>
          </cell>
          <cell r="E85">
            <v>3897.92</v>
          </cell>
          <cell r="F85">
            <v>324.82666666666665</v>
          </cell>
          <cell r="G85">
            <v>15.75</v>
          </cell>
          <cell r="H85" t="str">
            <v>KG</v>
          </cell>
          <cell r="I85" t="str">
            <v>Verificado</v>
          </cell>
          <cell r="J85">
            <v>5116.0199999999995</v>
          </cell>
          <cell r="K85">
            <v>46042</v>
          </cell>
        </row>
        <row r="86">
          <cell r="A86" t="str">
            <v>Galleta Ritz</v>
          </cell>
          <cell r="B86" t="str">
            <v>Galletas Ritz Saladas 1602 g</v>
          </cell>
          <cell r="C86">
            <v>0</v>
          </cell>
          <cell r="D86" t="str">
            <v>KG</v>
          </cell>
          <cell r="E86">
            <v>0</v>
          </cell>
          <cell r="F86">
            <v>0</v>
          </cell>
          <cell r="G86"/>
          <cell r="H86" t="str">
            <v>GR</v>
          </cell>
          <cell r="I86" t="str">
            <v>Verificado</v>
          </cell>
          <cell r="J86">
            <v>0</v>
          </cell>
          <cell r="K86">
            <v>46024</v>
          </cell>
        </row>
        <row r="87">
          <cell r="A87" t="str">
            <v xml:space="preserve">Glaseado </v>
          </cell>
          <cell r="B87" t="str">
            <v>Glaseado vainilla</v>
          </cell>
          <cell r="C87">
            <v>19.5</v>
          </cell>
          <cell r="D87" t="str">
            <v>KG</v>
          </cell>
          <cell r="E87">
            <v>1627.61</v>
          </cell>
          <cell r="F87">
            <v>83.467179487179479</v>
          </cell>
          <cell r="G87">
            <v>0</v>
          </cell>
          <cell r="H87" t="str">
            <v>KG</v>
          </cell>
          <cell r="I87" t="str">
            <v>Verificado</v>
          </cell>
          <cell r="J87">
            <v>0</v>
          </cell>
          <cell r="K87">
            <v>46024</v>
          </cell>
        </row>
        <row r="88">
          <cell r="A88" t="str">
            <v>Glaseado choco</v>
          </cell>
          <cell r="B88" t="str">
            <v>Glaseado chocolate</v>
          </cell>
          <cell r="C88">
            <v>18</v>
          </cell>
          <cell r="D88" t="str">
            <v>KG</v>
          </cell>
          <cell r="E88">
            <v>1612.01</v>
          </cell>
          <cell r="F88">
            <v>89.556111111111107</v>
          </cell>
          <cell r="G88">
            <v>0</v>
          </cell>
          <cell r="H88" t="str">
            <v>KG</v>
          </cell>
          <cell r="I88" t="str">
            <v>Verificado</v>
          </cell>
          <cell r="J88">
            <v>0</v>
          </cell>
          <cell r="K88">
            <v>46024</v>
          </cell>
        </row>
        <row r="89">
          <cell r="A89" t="str">
            <v>Gragea Colores</v>
          </cell>
          <cell r="B89" t="str">
            <v>Confetti Sequins (2.27 kg)</v>
          </cell>
          <cell r="C89">
            <v>0</v>
          </cell>
          <cell r="D89" t="str">
            <v>KG</v>
          </cell>
          <cell r="E89">
            <v>0</v>
          </cell>
          <cell r="F89">
            <v>0</v>
          </cell>
          <cell r="G89"/>
          <cell r="H89" t="str">
            <v>KG</v>
          </cell>
          <cell r="I89" t="str">
            <v>Verificado</v>
          </cell>
          <cell r="J89">
            <v>0</v>
          </cell>
          <cell r="K89">
            <v>46024</v>
          </cell>
        </row>
        <row r="90">
          <cell r="A90" t="str">
            <v>Gragea Granillo Colores</v>
          </cell>
          <cell r="B90" t="str">
            <v xml:space="preserve">Gragea Granillo Colores </v>
          </cell>
          <cell r="C90">
            <v>11.35</v>
          </cell>
          <cell r="D90" t="str">
            <v>KG</v>
          </cell>
          <cell r="E90">
            <v>1575</v>
          </cell>
          <cell r="F90">
            <v>138.76651982378854</v>
          </cell>
          <cell r="G90">
            <v>0</v>
          </cell>
          <cell r="H90" t="str">
            <v>KG</v>
          </cell>
          <cell r="I90" t="str">
            <v>Verificado</v>
          </cell>
          <cell r="J90">
            <v>0</v>
          </cell>
          <cell r="K90">
            <v>46024</v>
          </cell>
        </row>
        <row r="91">
          <cell r="A91" t="str">
            <v>Grageas Bright</v>
          </cell>
          <cell r="B91" t="str">
            <v>Confeti Sequins Bright 2.2 Kg</v>
          </cell>
          <cell r="C91">
            <v>0</v>
          </cell>
          <cell r="D91" t="str">
            <v>KG</v>
          </cell>
          <cell r="E91">
            <v>0</v>
          </cell>
          <cell r="F91">
            <v>0</v>
          </cell>
          <cell r="G91"/>
          <cell r="H91" t="str">
            <v>KG</v>
          </cell>
          <cell r="I91" t="str">
            <v>Verificado</v>
          </cell>
          <cell r="J91">
            <v>0</v>
          </cell>
          <cell r="K91">
            <v>46024</v>
          </cell>
        </row>
        <row r="92">
          <cell r="A92" t="str">
            <v>Guayaba</v>
          </cell>
          <cell r="B92" t="str">
            <v>Guayabas enteras en almibar cj de 12/800 Gr</v>
          </cell>
          <cell r="C92">
            <v>13.6</v>
          </cell>
          <cell r="D92" t="str">
            <v>KG</v>
          </cell>
          <cell r="E92">
            <v>1037</v>
          </cell>
          <cell r="F92">
            <v>76.25</v>
          </cell>
          <cell r="G92">
            <v>182.4</v>
          </cell>
          <cell r="H92" t="str">
            <v>KG</v>
          </cell>
          <cell r="I92" t="str">
            <v>Verificado</v>
          </cell>
          <cell r="J92">
            <v>13908</v>
          </cell>
          <cell r="K92">
            <v>46042</v>
          </cell>
        </row>
        <row r="93">
          <cell r="A93" t="str">
            <v>Harina</v>
          </cell>
          <cell r="B93" t="str">
            <v xml:space="preserve">PQTES. Harina Trigo Nevada (paquete con 10 kg) Poliet </v>
          </cell>
          <cell r="C93">
            <v>150</v>
          </cell>
          <cell r="D93" t="str">
            <v>KG</v>
          </cell>
          <cell r="E93">
            <v>2775</v>
          </cell>
          <cell r="F93">
            <v>18.5</v>
          </cell>
          <cell r="G93">
            <v>229</v>
          </cell>
          <cell r="H93" t="str">
            <v>KG</v>
          </cell>
          <cell r="I93" t="str">
            <v>Verificado</v>
          </cell>
          <cell r="J93">
            <v>4236.5</v>
          </cell>
          <cell r="K93">
            <v>46042</v>
          </cell>
        </row>
        <row r="94">
          <cell r="A94" t="str">
            <v>Harina Brownie</v>
          </cell>
          <cell r="B94" t="str">
            <v>Caja de harina para brownies (2.26 kg empaque con 4 costales)</v>
          </cell>
          <cell r="C94">
            <v>3.06</v>
          </cell>
          <cell r="D94" t="str">
            <v>KG</v>
          </cell>
          <cell r="E94">
            <v>414</v>
          </cell>
          <cell r="F94">
            <v>135.29411764705881</v>
          </cell>
          <cell r="G94">
            <v>11.3</v>
          </cell>
          <cell r="H94" t="str">
            <v>KG</v>
          </cell>
          <cell r="I94" t="str">
            <v>Verificado</v>
          </cell>
          <cell r="J94">
            <v>1528.8235294117646</v>
          </cell>
          <cell r="K94">
            <v>46024</v>
          </cell>
        </row>
        <row r="95">
          <cell r="A95" t="str">
            <v>Harina Espiga</v>
          </cell>
          <cell r="B95" t="str">
            <v>Saco de harina espiga cremoso vainilla de 20 kg</v>
          </cell>
          <cell r="C95">
            <v>20</v>
          </cell>
          <cell r="D95" t="str">
            <v>KG</v>
          </cell>
          <cell r="E95">
            <v>565</v>
          </cell>
          <cell r="F95">
            <v>28.25</v>
          </cell>
          <cell r="G95">
            <v>40</v>
          </cell>
          <cell r="H95" t="str">
            <v>KG</v>
          </cell>
          <cell r="I95" t="str">
            <v>Verificado</v>
          </cell>
          <cell r="J95">
            <v>1130</v>
          </cell>
          <cell r="K95">
            <v>46042</v>
          </cell>
        </row>
        <row r="96">
          <cell r="A96" t="str">
            <v>Huevo</v>
          </cell>
          <cell r="B96" t="str">
            <v>Cartera Huevo</v>
          </cell>
          <cell r="C96">
            <v>2160</v>
          </cell>
          <cell r="D96" t="str">
            <v>PZ/CART</v>
          </cell>
          <cell r="E96">
            <v>3900.24</v>
          </cell>
          <cell r="F96">
            <v>1.8056666666666665</v>
          </cell>
          <cell r="G96">
            <v>2880</v>
          </cell>
          <cell r="H96" t="str">
            <v>PZ</v>
          </cell>
          <cell r="I96" t="str">
            <v>Verificado</v>
          </cell>
          <cell r="J96">
            <v>5200.32</v>
          </cell>
          <cell r="K96">
            <v>46042</v>
          </cell>
        </row>
        <row r="97">
          <cell r="A97" t="str">
            <v>Jugo de Piña</v>
          </cell>
          <cell r="B97" t="str">
            <v>Jumex Jugo de piña</v>
          </cell>
          <cell r="C97">
            <v>0</v>
          </cell>
          <cell r="D97" t="str">
            <v>LT</v>
          </cell>
          <cell r="E97">
            <v>0</v>
          </cell>
          <cell r="F97">
            <v>0</v>
          </cell>
          <cell r="G97">
            <v>6</v>
          </cell>
          <cell r="H97" t="str">
            <v>LT</v>
          </cell>
          <cell r="I97" t="str">
            <v>Verificado</v>
          </cell>
          <cell r="J97">
            <v>0</v>
          </cell>
          <cell r="K97">
            <v>46024</v>
          </cell>
        </row>
        <row r="98">
          <cell r="A98" t="str">
            <v>La Lechera</v>
          </cell>
          <cell r="B98" t="str">
            <v>La Lechera Institucional 25.5 KG</v>
          </cell>
          <cell r="C98">
            <v>1147.5</v>
          </cell>
          <cell r="D98" t="str">
            <v>KG</v>
          </cell>
          <cell r="E98">
            <v>71606.25</v>
          </cell>
          <cell r="F98">
            <v>62.401960784313722</v>
          </cell>
          <cell r="G98">
            <v>689.4</v>
          </cell>
          <cell r="H98" t="str">
            <v>KG</v>
          </cell>
          <cell r="I98" t="str">
            <v>Verificado</v>
          </cell>
          <cell r="J98">
            <v>43019.911764705881</v>
          </cell>
          <cell r="K98">
            <v>46042</v>
          </cell>
        </row>
        <row r="99">
          <cell r="A99" t="str">
            <v>Leche Evaporada</v>
          </cell>
          <cell r="B99" t="str">
            <v>Leche Evaporada</v>
          </cell>
          <cell r="C99">
            <v>60</v>
          </cell>
          <cell r="D99" t="str">
            <v>LT</v>
          </cell>
          <cell r="E99">
            <v>3431.22</v>
          </cell>
          <cell r="F99">
            <v>57.186999999999998</v>
          </cell>
          <cell r="G99">
            <v>220</v>
          </cell>
          <cell r="H99" t="str">
            <v>LT</v>
          </cell>
          <cell r="I99" t="str">
            <v>Verificado</v>
          </cell>
          <cell r="J99">
            <v>12581.14</v>
          </cell>
          <cell r="K99">
            <v>46042</v>
          </cell>
        </row>
        <row r="100">
          <cell r="A100" t="str">
            <v>LecheLala</v>
          </cell>
          <cell r="B100" t="str">
            <v>Leche Lala Entera cartón de 1 LT</v>
          </cell>
          <cell r="C100">
            <v>0</v>
          </cell>
          <cell r="D100" t="str">
            <v>LT</v>
          </cell>
          <cell r="E100">
            <v>0</v>
          </cell>
          <cell r="F100">
            <v>0</v>
          </cell>
          <cell r="G100"/>
          <cell r="H100" t="str">
            <v>LT</v>
          </cell>
          <cell r="I100" t="str">
            <v>Verificado</v>
          </cell>
          <cell r="J100">
            <v>0</v>
          </cell>
          <cell r="K100">
            <v>46024</v>
          </cell>
        </row>
        <row r="101">
          <cell r="A101" t="str">
            <v>Levadura</v>
          </cell>
          <cell r="B101" t="str">
            <v>Levadura</v>
          </cell>
          <cell r="C101">
            <v>0.125</v>
          </cell>
          <cell r="D101" t="str">
            <v>KG</v>
          </cell>
          <cell r="E101">
            <v>38</v>
          </cell>
          <cell r="F101">
            <v>304</v>
          </cell>
          <cell r="G101"/>
          <cell r="I101" t="str">
            <v>Verificado</v>
          </cell>
          <cell r="J101">
            <v>0</v>
          </cell>
          <cell r="K101">
            <v>46024</v>
          </cell>
        </row>
        <row r="102">
          <cell r="A102" t="str">
            <v>Licor43</v>
          </cell>
          <cell r="B102" t="str">
            <v>Licor 43 700ml</v>
          </cell>
          <cell r="C102">
            <v>0</v>
          </cell>
          <cell r="D102" t="str">
            <v>LT</v>
          </cell>
          <cell r="E102">
            <v>0</v>
          </cell>
          <cell r="F102">
            <v>0</v>
          </cell>
          <cell r="G102"/>
          <cell r="H102" t="str">
            <v>LT</v>
          </cell>
          <cell r="I102" t="str">
            <v>Verificado</v>
          </cell>
          <cell r="J102">
            <v>0</v>
          </cell>
          <cell r="K102">
            <v>46024</v>
          </cell>
        </row>
        <row r="103">
          <cell r="A103" t="str">
            <v>Liga No10</v>
          </cell>
          <cell r="B103" t="str">
            <v>Liga No10 Colores</v>
          </cell>
          <cell r="C103">
            <v>600</v>
          </cell>
          <cell r="D103" t="str">
            <v>PZ</v>
          </cell>
          <cell r="E103">
            <v>44</v>
          </cell>
          <cell r="F103">
            <v>7.3333333333333334E-2</v>
          </cell>
          <cell r="G103">
            <v>600</v>
          </cell>
          <cell r="H103" t="str">
            <v>PZ</v>
          </cell>
          <cell r="I103" t="str">
            <v>Verificado</v>
          </cell>
          <cell r="J103">
            <v>44</v>
          </cell>
          <cell r="K103">
            <v>46024</v>
          </cell>
        </row>
        <row r="104">
          <cell r="A104" t="str">
            <v>Limón</v>
          </cell>
          <cell r="B104" t="str">
            <v>Limon</v>
          </cell>
          <cell r="C104">
            <v>3.74</v>
          </cell>
          <cell r="D104" t="str">
            <v>KG</v>
          </cell>
          <cell r="E104">
            <v>100.98</v>
          </cell>
          <cell r="F104">
            <v>27</v>
          </cell>
          <cell r="G104">
            <v>1</v>
          </cell>
          <cell r="H104" t="str">
            <v>KG</v>
          </cell>
          <cell r="I104" t="str">
            <v>Verificado</v>
          </cell>
          <cell r="J104">
            <v>27</v>
          </cell>
          <cell r="K104">
            <v>46024</v>
          </cell>
        </row>
        <row r="105">
          <cell r="A105" t="str">
            <v>Liston Palmita</v>
          </cell>
          <cell r="B105" t="str">
            <v>Liston con Logo Dolce palmita algodón 150 metros</v>
          </cell>
          <cell r="C105">
            <v>50000</v>
          </cell>
          <cell r="D105" t="str">
            <v>CM</v>
          </cell>
          <cell r="E105">
            <v>7622.8</v>
          </cell>
          <cell r="F105">
            <v>0.15245600000000001</v>
          </cell>
          <cell r="G105">
            <v>0</v>
          </cell>
          <cell r="H105" t="str">
            <v>CM</v>
          </cell>
          <cell r="I105" t="str">
            <v>Verificado</v>
          </cell>
          <cell r="J105">
            <v>0</v>
          </cell>
          <cell r="K105">
            <v>46024</v>
          </cell>
        </row>
        <row r="106">
          <cell r="A106" t="str">
            <v>Manga 26 cm</v>
          </cell>
          <cell r="B106" t="str">
            <v>Manga 26 cm</v>
          </cell>
          <cell r="C106">
            <v>12</v>
          </cell>
          <cell r="D106" t="str">
            <v>PZ</v>
          </cell>
          <cell r="E106">
            <v>746.1</v>
          </cell>
          <cell r="F106">
            <v>62.175000000000004</v>
          </cell>
          <cell r="G106">
            <v>12</v>
          </cell>
          <cell r="H106" t="str">
            <v>PZ</v>
          </cell>
          <cell r="I106" t="str">
            <v>Verificado</v>
          </cell>
          <cell r="J106">
            <v>746.1</v>
          </cell>
          <cell r="K106">
            <v>46024</v>
          </cell>
        </row>
        <row r="107">
          <cell r="A107" t="str">
            <v>Manteca</v>
          </cell>
          <cell r="B107" t="str">
            <v>Manteca</v>
          </cell>
          <cell r="C107">
            <v>24</v>
          </cell>
          <cell r="D107" t="str">
            <v>KG</v>
          </cell>
          <cell r="E107">
            <v>1578</v>
          </cell>
          <cell r="F107">
            <v>65.75</v>
          </cell>
          <cell r="G107">
            <v>29</v>
          </cell>
          <cell r="H107" t="str">
            <v>KG</v>
          </cell>
          <cell r="I107" t="str">
            <v>Verificado</v>
          </cell>
          <cell r="J107">
            <v>1906.75</v>
          </cell>
          <cell r="K107">
            <v>46042</v>
          </cell>
        </row>
        <row r="108">
          <cell r="A108" t="str">
            <v>Mantequilla</v>
          </cell>
          <cell r="B108" t="str">
            <v xml:space="preserve">Mantequilla Eugenia (paquete 5 kg) </v>
          </cell>
          <cell r="C108">
            <v>25</v>
          </cell>
          <cell r="D108" t="str">
            <v>KG</v>
          </cell>
          <cell r="E108">
            <v>4374.9799999999996</v>
          </cell>
          <cell r="F108">
            <v>174.99919999999997</v>
          </cell>
          <cell r="G108">
            <v>140</v>
          </cell>
          <cell r="H108" t="str">
            <v>KG</v>
          </cell>
          <cell r="I108" t="str">
            <v>Verificado</v>
          </cell>
          <cell r="J108">
            <v>24499.887999999995</v>
          </cell>
          <cell r="K108">
            <v>46042</v>
          </cell>
        </row>
        <row r="109">
          <cell r="A109" t="str">
            <v>Mantequilla Flex</v>
          </cell>
          <cell r="B109" t="str">
            <v>Mantequilla Flex</v>
          </cell>
          <cell r="C109">
            <v>20</v>
          </cell>
          <cell r="D109" t="str">
            <v>KG</v>
          </cell>
          <cell r="E109">
            <v>1160</v>
          </cell>
          <cell r="F109">
            <v>58</v>
          </cell>
          <cell r="G109">
            <v>13</v>
          </cell>
          <cell r="H109" t="str">
            <v>KG</v>
          </cell>
          <cell r="I109" t="str">
            <v>Verificado</v>
          </cell>
          <cell r="J109">
            <v>754</v>
          </cell>
          <cell r="K109">
            <v>46042</v>
          </cell>
        </row>
        <row r="110">
          <cell r="A110" t="str">
            <v>Manzana</v>
          </cell>
          <cell r="B110" t="str">
            <v>Manzana</v>
          </cell>
          <cell r="C110">
            <v>1</v>
          </cell>
          <cell r="D110" t="str">
            <v>KG</v>
          </cell>
          <cell r="E110">
            <v>43</v>
          </cell>
          <cell r="F110">
            <v>43</v>
          </cell>
          <cell r="G110"/>
          <cell r="I110" t="str">
            <v>Verificado</v>
          </cell>
          <cell r="J110">
            <v>0</v>
          </cell>
          <cell r="K110">
            <v>46024</v>
          </cell>
        </row>
        <row r="111">
          <cell r="A111" t="str">
            <v>Margarina</v>
          </cell>
          <cell r="B111" t="str">
            <v>Margarina Multiusos (paquete con 10 barras de 1 kg)</v>
          </cell>
          <cell r="C111">
            <v>10</v>
          </cell>
          <cell r="D111" t="str">
            <v>KG</v>
          </cell>
          <cell r="E111">
            <v>641</v>
          </cell>
          <cell r="F111">
            <v>64.099999999999994</v>
          </cell>
          <cell r="G111">
            <v>16</v>
          </cell>
          <cell r="H111" t="str">
            <v>KG</v>
          </cell>
          <cell r="I111" t="str">
            <v>Verificado</v>
          </cell>
          <cell r="J111">
            <v>1025.5999999999999</v>
          </cell>
          <cell r="K111">
            <v>46042</v>
          </cell>
        </row>
        <row r="112">
          <cell r="A112" t="str">
            <v>Media Crema</v>
          </cell>
          <cell r="B112" t="str">
            <v>Lala Media Crema cartón con 24 envases de 500 ml c/u</v>
          </cell>
          <cell r="C112">
            <v>576</v>
          </cell>
          <cell r="D112" t="str">
            <v>LT</v>
          </cell>
          <cell r="E112">
            <v>33600</v>
          </cell>
          <cell r="F112">
            <v>58.333333333333336</v>
          </cell>
          <cell r="G112">
            <v>476.64</v>
          </cell>
          <cell r="H112" t="str">
            <v>LT</v>
          </cell>
          <cell r="I112" t="str">
            <v>Verificado</v>
          </cell>
          <cell r="J112">
            <v>27804</v>
          </cell>
          <cell r="K112">
            <v>46042</v>
          </cell>
        </row>
        <row r="113">
          <cell r="A113" t="str">
            <v>Mermelada de Fresa</v>
          </cell>
          <cell r="B113" t="str">
            <v>Mermelada Member's Mark Fresa 1.20 KG</v>
          </cell>
          <cell r="C113">
            <v>90</v>
          </cell>
          <cell r="D113" t="str">
            <v>KG</v>
          </cell>
          <cell r="E113">
            <v>6906.25</v>
          </cell>
          <cell r="F113">
            <v>76.736111111111114</v>
          </cell>
          <cell r="G113">
            <v>180</v>
          </cell>
          <cell r="H113" t="str">
            <v>KG</v>
          </cell>
          <cell r="I113" t="str">
            <v>Verificado</v>
          </cell>
          <cell r="J113">
            <v>13812.5</v>
          </cell>
          <cell r="K113">
            <v>46042</v>
          </cell>
        </row>
        <row r="114">
          <cell r="A114" t="str">
            <v>Mermelada Fresa Preparada</v>
          </cell>
          <cell r="B114" t="str">
            <v>Mermelada Fresa Preparada 40 LB</v>
          </cell>
          <cell r="C114">
            <v>126</v>
          </cell>
          <cell r="D114" t="str">
            <v>KG</v>
          </cell>
          <cell r="E114">
            <v>9668.75</v>
          </cell>
          <cell r="F114">
            <v>76.736111111111114</v>
          </cell>
          <cell r="G114">
            <v>306</v>
          </cell>
          <cell r="H114" t="str">
            <v>KG</v>
          </cell>
          <cell r="I114" t="str">
            <v>Verificado</v>
          </cell>
          <cell r="J114">
            <v>23481.25</v>
          </cell>
          <cell r="K114">
            <v>46024</v>
          </cell>
        </row>
        <row r="115">
          <cell r="A115" t="str">
            <v>Miel Karo</v>
          </cell>
          <cell r="B115" t="str">
            <v>Miel Karo (500 ml)</v>
          </cell>
          <cell r="C115">
            <v>0</v>
          </cell>
          <cell r="D115" t="str">
            <v>PZ</v>
          </cell>
          <cell r="E115">
            <v>0</v>
          </cell>
          <cell r="F115">
            <v>0</v>
          </cell>
          <cell r="G115"/>
          <cell r="H115" t="str">
            <v>PZ</v>
          </cell>
          <cell r="I115" t="str">
            <v>Verificado</v>
          </cell>
          <cell r="J115">
            <v>0</v>
          </cell>
          <cell r="K115">
            <v>46024</v>
          </cell>
        </row>
        <row r="116">
          <cell r="A116" t="str">
            <v>MilkyWay</v>
          </cell>
          <cell r="B116" t="str">
            <v>Chocolate Milky Way paquete con 6 barras de 52.3 gr c/u</v>
          </cell>
          <cell r="C116">
            <v>0</v>
          </cell>
          <cell r="D116" t="str">
            <v>PZ</v>
          </cell>
          <cell r="E116">
            <v>0</v>
          </cell>
          <cell r="F116">
            <v>0</v>
          </cell>
          <cell r="G116"/>
          <cell r="H116" t="str">
            <v>PZ</v>
          </cell>
          <cell r="I116" t="str">
            <v>Verificado</v>
          </cell>
          <cell r="J116">
            <v>0</v>
          </cell>
          <cell r="K116">
            <v>46024</v>
          </cell>
        </row>
        <row r="117">
          <cell r="A117" t="str">
            <v>Mini Corazon</v>
          </cell>
          <cell r="C117">
            <v>0</v>
          </cell>
          <cell r="D117" t="str">
            <v>KG</v>
          </cell>
          <cell r="E117">
            <v>0</v>
          </cell>
          <cell r="F117">
            <v>0</v>
          </cell>
          <cell r="G117"/>
          <cell r="H117" t="str">
            <v>KG</v>
          </cell>
          <cell r="I117" t="str">
            <v>Verificado</v>
          </cell>
          <cell r="J117">
            <v>0</v>
          </cell>
          <cell r="K117">
            <v>46024</v>
          </cell>
        </row>
        <row r="118">
          <cell r="A118" t="str">
            <v>Molde 3 Leches Individual</v>
          </cell>
          <cell r="B118" t="str">
            <v>Molde 3 Leches Individual</v>
          </cell>
          <cell r="C118">
            <v>300</v>
          </cell>
          <cell r="D118" t="str">
            <v>PZ</v>
          </cell>
          <cell r="E118">
            <v>1375.1</v>
          </cell>
          <cell r="F118">
            <v>4.5836666666666668</v>
          </cell>
          <cell r="G118">
            <v>943</v>
          </cell>
          <cell r="H118" t="str">
            <v>PZ</v>
          </cell>
          <cell r="I118" t="str">
            <v>Verificado</v>
          </cell>
          <cell r="J118">
            <v>4322.3976666666667</v>
          </cell>
          <cell r="K118">
            <v>45862</v>
          </cell>
        </row>
        <row r="119">
          <cell r="A119" t="str">
            <v>Monito/Rosca</v>
          </cell>
          <cell r="C119">
            <v>5000</v>
          </cell>
          <cell r="D119" t="str">
            <v>PZ</v>
          </cell>
          <cell r="E119">
            <v>3250</v>
          </cell>
          <cell r="F119">
            <v>0.65</v>
          </cell>
          <cell r="G119"/>
          <cell r="H119" t="str">
            <v>PZ</v>
          </cell>
          <cell r="I119" t="str">
            <v>Verificado</v>
          </cell>
          <cell r="J119">
            <v>0</v>
          </cell>
          <cell r="K119">
            <v>46042</v>
          </cell>
        </row>
        <row r="120">
          <cell r="A120" t="str">
            <v>Muibon</v>
          </cell>
          <cell r="B120" t="str">
            <v>Chocolate Muibon 46 pz (cont neto .966 kg)</v>
          </cell>
          <cell r="C120">
            <v>460</v>
          </cell>
          <cell r="D120" t="str">
            <v>PZ</v>
          </cell>
          <cell r="E120">
            <v>1341.01</v>
          </cell>
          <cell r="F120">
            <v>2.9152391304347827</v>
          </cell>
          <cell r="G120">
            <v>3</v>
          </cell>
          <cell r="H120" t="str">
            <v>PZ</v>
          </cell>
          <cell r="I120" t="str">
            <v>Verificado</v>
          </cell>
          <cell r="J120">
            <v>8.745717391304348</v>
          </cell>
          <cell r="K120">
            <v>46042</v>
          </cell>
        </row>
        <row r="121">
          <cell r="A121" t="str">
            <v>Nescafe Clasico</v>
          </cell>
          <cell r="B121" t="str">
            <v>Nescafe Clásico en lata 4 de 1Kg cada uno</v>
          </cell>
          <cell r="C121">
            <v>0</v>
          </cell>
          <cell r="D121" t="str">
            <v>KG</v>
          </cell>
          <cell r="E121">
            <v>0</v>
          </cell>
          <cell r="F121">
            <v>0</v>
          </cell>
          <cell r="G121"/>
          <cell r="H121" t="str">
            <v>KG</v>
          </cell>
          <cell r="I121" t="str">
            <v>Verificado</v>
          </cell>
          <cell r="J121">
            <v>0</v>
          </cell>
          <cell r="K121">
            <v>45940</v>
          </cell>
        </row>
        <row r="122">
          <cell r="A122" t="str">
            <v>Nuez Granillo</v>
          </cell>
          <cell r="B122" t="str">
            <v>Nuez Granillo</v>
          </cell>
          <cell r="C122">
            <v>20</v>
          </cell>
          <cell r="D122" t="str">
            <v>KG</v>
          </cell>
          <cell r="E122">
            <v>3980</v>
          </cell>
          <cell r="F122">
            <v>199</v>
          </cell>
          <cell r="G122">
            <v>22.5</v>
          </cell>
          <cell r="H122" t="str">
            <v>KG</v>
          </cell>
          <cell r="I122" t="str">
            <v>Verificado</v>
          </cell>
          <cell r="J122">
            <v>4477.5</v>
          </cell>
          <cell r="K122">
            <v>46042</v>
          </cell>
        </row>
        <row r="123">
          <cell r="A123" t="str">
            <v>Nuez Picada</v>
          </cell>
          <cell r="B123" t="str">
            <v>Nuez Picada</v>
          </cell>
          <cell r="C123">
            <v>20</v>
          </cell>
          <cell r="D123" t="str">
            <v>KG</v>
          </cell>
          <cell r="E123">
            <v>4380</v>
          </cell>
          <cell r="F123">
            <v>219</v>
          </cell>
          <cell r="G123">
            <v>32.5</v>
          </cell>
          <cell r="H123" t="str">
            <v>KG</v>
          </cell>
          <cell r="I123" t="str">
            <v>Verificado</v>
          </cell>
          <cell r="J123">
            <v>7117.5</v>
          </cell>
          <cell r="K123">
            <v>46042</v>
          </cell>
        </row>
        <row r="124">
          <cell r="A124" t="str">
            <v>Nutella</v>
          </cell>
          <cell r="B124" t="str">
            <v>Nutella</v>
          </cell>
          <cell r="C124">
            <v>6</v>
          </cell>
          <cell r="D124" t="str">
            <v>KG</v>
          </cell>
          <cell r="E124">
            <v>1198.8</v>
          </cell>
          <cell r="F124">
            <v>199.79999999999998</v>
          </cell>
          <cell r="G124">
            <v>6</v>
          </cell>
          <cell r="H124" t="str">
            <v>KG</v>
          </cell>
          <cell r="I124" t="str">
            <v>Verificado</v>
          </cell>
          <cell r="J124">
            <v>1198.8</v>
          </cell>
          <cell r="K124">
            <v>46042</v>
          </cell>
        </row>
        <row r="125">
          <cell r="A125" t="str">
            <v>NutriLeche</v>
          </cell>
          <cell r="B125" t="str">
            <v>Leche Nutrileche (1 Litro)</v>
          </cell>
          <cell r="C125">
            <v>240</v>
          </cell>
          <cell r="D125" t="str">
            <v>LT</v>
          </cell>
          <cell r="E125">
            <v>4692</v>
          </cell>
          <cell r="F125">
            <v>19.55</v>
          </cell>
          <cell r="G125">
            <v>299</v>
          </cell>
          <cell r="H125" t="str">
            <v>LT</v>
          </cell>
          <cell r="I125" t="str">
            <v>Verificado</v>
          </cell>
          <cell r="J125">
            <v>5845.45</v>
          </cell>
          <cell r="K125">
            <v>46042</v>
          </cell>
        </row>
        <row r="126">
          <cell r="A126" t="str">
            <v>Oreo Sandwich</v>
          </cell>
          <cell r="B126" t="str">
            <v>Oro galleta Sandiwch con relleno</v>
          </cell>
          <cell r="C126">
            <v>10.5</v>
          </cell>
          <cell r="D126" t="str">
            <v>KG</v>
          </cell>
          <cell r="E126">
            <v>1292.76</v>
          </cell>
          <cell r="F126">
            <v>123.12</v>
          </cell>
          <cell r="G126">
            <v>10.5</v>
          </cell>
          <cell r="H126" t="str">
            <v>KG</v>
          </cell>
          <cell r="I126" t="str">
            <v>Verificado</v>
          </cell>
          <cell r="J126">
            <v>1292.76</v>
          </cell>
          <cell r="K126">
            <v>46042</v>
          </cell>
        </row>
        <row r="127">
          <cell r="A127" t="str">
            <v>Oreo Trozos</v>
          </cell>
          <cell r="B127" t="str">
            <v>Oreo galleta base sin relleno</v>
          </cell>
          <cell r="C127">
            <v>9</v>
          </cell>
          <cell r="D127" t="str">
            <v>KG</v>
          </cell>
          <cell r="E127">
            <v>1059.48</v>
          </cell>
          <cell r="F127">
            <v>117.72</v>
          </cell>
          <cell r="G127">
            <v>21</v>
          </cell>
          <cell r="H127" t="str">
            <v>KG</v>
          </cell>
          <cell r="I127" t="str">
            <v>Verificado</v>
          </cell>
          <cell r="J127">
            <v>2472.12</v>
          </cell>
          <cell r="K127">
            <v>46042</v>
          </cell>
        </row>
        <row r="128">
          <cell r="A128" t="str">
            <v>Pan de Muerto</v>
          </cell>
          <cell r="B128" t="str">
            <v>Pan de Muerto</v>
          </cell>
          <cell r="C128">
            <v>0</v>
          </cell>
          <cell r="D128" t="str">
            <v>PZ</v>
          </cell>
          <cell r="E128">
            <v>0</v>
          </cell>
          <cell r="F128">
            <v>0</v>
          </cell>
          <cell r="G128"/>
          <cell r="H128" t="str">
            <v>PZ</v>
          </cell>
          <cell r="I128" t="str">
            <v>Verificado</v>
          </cell>
          <cell r="J128">
            <v>0</v>
          </cell>
          <cell r="K128">
            <v>46024</v>
          </cell>
        </row>
        <row r="129">
          <cell r="A129" t="str">
            <v>Papel encerado logo</v>
          </cell>
          <cell r="B129" t="str">
            <v>papel encerado logo</v>
          </cell>
          <cell r="C129">
            <v>6000</v>
          </cell>
          <cell r="D129" t="str">
            <v>PZ</v>
          </cell>
          <cell r="E129">
            <v>5999.4</v>
          </cell>
          <cell r="F129">
            <v>0.9998999999999999</v>
          </cell>
          <cell r="G129">
            <v>6000</v>
          </cell>
          <cell r="H129" t="str">
            <v>PZ</v>
          </cell>
          <cell r="I129" t="str">
            <v>Verificado</v>
          </cell>
          <cell r="J129">
            <v>5999.4</v>
          </cell>
          <cell r="K129">
            <v>46024</v>
          </cell>
        </row>
        <row r="130">
          <cell r="A130" t="str">
            <v>PapelCliche</v>
          </cell>
          <cell r="B130" t="str">
            <v xml:space="preserve">Papel Cliché 1 millar </v>
          </cell>
          <cell r="C130">
            <v>4000</v>
          </cell>
          <cell r="D130" t="str">
            <v>PZ</v>
          </cell>
          <cell r="E130">
            <v>6264</v>
          </cell>
          <cell r="F130">
            <v>1.5660000000000001</v>
          </cell>
          <cell r="G130">
            <v>0</v>
          </cell>
          <cell r="H130" t="str">
            <v>PZ</v>
          </cell>
          <cell r="I130" t="str">
            <v>Verificado</v>
          </cell>
          <cell r="J130">
            <v>0</v>
          </cell>
          <cell r="K130">
            <v>45862</v>
          </cell>
        </row>
        <row r="131">
          <cell r="A131" t="str">
            <v>Piña</v>
          </cell>
          <cell r="B131" t="str">
            <v>Piña en trocitos cada de 6/3 KG</v>
          </cell>
          <cell r="C131">
            <v>33</v>
          </cell>
          <cell r="D131" t="str">
            <v>KG</v>
          </cell>
          <cell r="E131">
            <v>2230</v>
          </cell>
          <cell r="F131">
            <v>67.575757575757578</v>
          </cell>
          <cell r="G131">
            <v>60.26</v>
          </cell>
          <cell r="H131" t="str">
            <v>KG</v>
          </cell>
          <cell r="I131" t="str">
            <v>Verificado</v>
          </cell>
          <cell r="J131">
            <v>4072.1151515151514</v>
          </cell>
          <cell r="K131">
            <v>46024</v>
          </cell>
        </row>
        <row r="132">
          <cell r="A132" t="str">
            <v>Plátano</v>
          </cell>
          <cell r="B132" t="str">
            <v>Plátano</v>
          </cell>
          <cell r="C132">
            <v>5.21</v>
          </cell>
          <cell r="D132" t="str">
            <v>KG</v>
          </cell>
          <cell r="E132">
            <v>77.7</v>
          </cell>
          <cell r="F132">
            <v>14.913627639155472</v>
          </cell>
          <cell r="G132">
            <v>0</v>
          </cell>
          <cell r="H132" t="str">
            <v>KG</v>
          </cell>
          <cell r="I132" t="str">
            <v>Verificado</v>
          </cell>
          <cell r="J132">
            <v>0</v>
          </cell>
          <cell r="K132">
            <v>46042</v>
          </cell>
        </row>
        <row r="133">
          <cell r="A133" t="str">
            <v>Polvo de Merengue</v>
          </cell>
          <cell r="B133" t="str">
            <v>Polvo de Merengue</v>
          </cell>
          <cell r="C133">
            <v>84</v>
          </cell>
          <cell r="D133" t="str">
            <v>KG</v>
          </cell>
          <cell r="E133">
            <v>24182.06</v>
          </cell>
          <cell r="F133">
            <v>287.88166666666666</v>
          </cell>
          <cell r="G133">
            <v>71</v>
          </cell>
          <cell r="H133" t="str">
            <v>KG</v>
          </cell>
          <cell r="I133" t="str">
            <v>Verificado</v>
          </cell>
          <cell r="J133">
            <v>20439.598333333332</v>
          </cell>
          <cell r="K133">
            <v>46042</v>
          </cell>
        </row>
        <row r="134">
          <cell r="A134" t="str">
            <v>Polvo Dream Whip</v>
          </cell>
          <cell r="B134" t="str">
            <v>Sustituto de Crema para Café (1 costal de 10 kg)</v>
          </cell>
          <cell r="C134">
            <v>730</v>
          </cell>
          <cell r="D134" t="str">
            <v>KG</v>
          </cell>
          <cell r="E134">
            <v>58400</v>
          </cell>
          <cell r="F134">
            <v>80</v>
          </cell>
          <cell r="G134">
            <v>1920</v>
          </cell>
          <cell r="H134" t="str">
            <v>KG</v>
          </cell>
          <cell r="I134" t="str">
            <v>Verificado</v>
          </cell>
          <cell r="J134">
            <v>153600</v>
          </cell>
          <cell r="K134">
            <v>46042</v>
          </cell>
        </row>
        <row r="135">
          <cell r="A135" t="str">
            <v>Porta Vasos</v>
          </cell>
          <cell r="B135" t="str">
            <v>Porta Vasos 4 cavidades</v>
          </cell>
          <cell r="C135">
            <v>600</v>
          </cell>
          <cell r="D135" t="str">
            <v>PZ</v>
          </cell>
          <cell r="E135">
            <v>3375.42</v>
          </cell>
          <cell r="F135">
            <v>5.6257000000000001</v>
          </cell>
          <cell r="G135">
            <v>1048</v>
          </cell>
          <cell r="H135" t="str">
            <v>PZ</v>
          </cell>
          <cell r="I135" t="str">
            <v>Verificado</v>
          </cell>
          <cell r="J135">
            <v>5895.7336000000005</v>
          </cell>
          <cell r="K135">
            <v>46042</v>
          </cell>
        </row>
        <row r="136">
          <cell r="A136" t="str">
            <v>Presidente</v>
          </cell>
          <cell r="B136" t="str">
            <v>Licor Presidente Brandy de 940 ml</v>
          </cell>
          <cell r="E136">
            <v>0</v>
          </cell>
          <cell r="F136">
            <v>0</v>
          </cell>
          <cell r="G136">
            <v>0</v>
          </cell>
          <cell r="H136" t="str">
            <v/>
          </cell>
          <cell r="I136" t="str">
            <v>Verificado</v>
          </cell>
          <cell r="J136">
            <v>0</v>
          </cell>
          <cell r="K136">
            <v>46024</v>
          </cell>
        </row>
        <row r="137">
          <cell r="A137" t="str">
            <v>Queso Crema</v>
          </cell>
          <cell r="B137" t="str">
            <v>Queso Crema (cartón con 8 kg)</v>
          </cell>
          <cell r="C137">
            <v>64</v>
          </cell>
          <cell r="D137" t="str">
            <v>KG</v>
          </cell>
          <cell r="E137">
            <v>9920</v>
          </cell>
          <cell r="F137">
            <v>155</v>
          </cell>
          <cell r="G137">
            <v>184</v>
          </cell>
          <cell r="H137" t="str">
            <v>KG</v>
          </cell>
          <cell r="I137" t="str">
            <v>Verificado</v>
          </cell>
          <cell r="J137">
            <v>28520</v>
          </cell>
          <cell r="K137">
            <v>46042</v>
          </cell>
        </row>
        <row r="138">
          <cell r="A138" t="str">
            <v>Rebanada Pastel 1414</v>
          </cell>
          <cell r="B138" t="str">
            <v>Rebanada de pastel</v>
          </cell>
          <cell r="C138">
            <v>500</v>
          </cell>
          <cell r="D138" t="str">
            <v>PZ</v>
          </cell>
          <cell r="E138">
            <v>1160.97</v>
          </cell>
          <cell r="F138">
            <v>2.3219400000000001</v>
          </cell>
          <cell r="G138">
            <v>2559</v>
          </cell>
          <cell r="H138" t="str">
            <v>PZ</v>
          </cell>
          <cell r="I138" t="str">
            <v>Verificado</v>
          </cell>
          <cell r="J138">
            <v>5941.8444600000003</v>
          </cell>
          <cell r="K138">
            <v>46042</v>
          </cell>
        </row>
        <row r="139">
          <cell r="A139" t="str">
            <v>Rebanada Pay RP25</v>
          </cell>
          <cell r="B139" t="str">
            <v>Rebanada de pie</v>
          </cell>
          <cell r="C139">
            <v>250</v>
          </cell>
          <cell r="D139" t="str">
            <v>PZ</v>
          </cell>
          <cell r="E139">
            <v>566.36</v>
          </cell>
          <cell r="F139">
            <v>2.2654399999999999</v>
          </cell>
          <cell r="G139">
            <v>1645</v>
          </cell>
          <cell r="H139" t="str">
            <v>PZ</v>
          </cell>
          <cell r="I139" t="str">
            <v>Verificado</v>
          </cell>
          <cell r="J139">
            <v>3726.6487999999999</v>
          </cell>
          <cell r="K139">
            <v>46042</v>
          </cell>
        </row>
        <row r="140">
          <cell r="A140" t="str">
            <v>Relleno Manzana</v>
          </cell>
          <cell r="B140" t="str">
            <v>Relleno de manzana F. Fillinf Cub/37 LBX</v>
          </cell>
          <cell r="C140">
            <v>16.78</v>
          </cell>
          <cell r="D140" t="str">
            <v>KG</v>
          </cell>
          <cell r="E140">
            <v>1392.3</v>
          </cell>
          <cell r="F140">
            <v>82.973778307508937</v>
          </cell>
          <cell r="G140">
            <v>0</v>
          </cell>
          <cell r="H140" t="str">
            <v>KG</v>
          </cell>
          <cell r="I140" t="str">
            <v>Verificado</v>
          </cell>
          <cell r="J140">
            <v>0</v>
          </cell>
          <cell r="K140">
            <v>46042</v>
          </cell>
        </row>
        <row r="141">
          <cell r="A141" t="str">
            <v>Relleno Mora Azul</v>
          </cell>
          <cell r="B141" t="str">
            <v>Relleno Mora Azul Premium American Donut</v>
          </cell>
          <cell r="C141">
            <v>13.5</v>
          </cell>
          <cell r="D141" t="str">
            <v>KG</v>
          </cell>
          <cell r="E141">
            <v>1917</v>
          </cell>
          <cell r="F141">
            <v>142</v>
          </cell>
          <cell r="G141">
            <v>13.5</v>
          </cell>
          <cell r="H141" t="str">
            <v>KG</v>
          </cell>
          <cell r="I141" t="str">
            <v>Verificado</v>
          </cell>
          <cell r="J141">
            <v>1917</v>
          </cell>
          <cell r="K141">
            <v>46024</v>
          </cell>
        </row>
        <row r="142">
          <cell r="A142" t="str">
            <v>ROJOBLANCOROSA</v>
          </cell>
          <cell r="C142">
            <v>0</v>
          </cell>
          <cell r="D142" t="str">
            <v>KG</v>
          </cell>
          <cell r="E142">
            <v>0</v>
          </cell>
          <cell r="F142">
            <v>0</v>
          </cell>
          <cell r="G142"/>
          <cell r="H142" t="str">
            <v>kg</v>
          </cell>
          <cell r="I142" t="str">
            <v>Verificado</v>
          </cell>
          <cell r="J142">
            <v>0</v>
          </cell>
          <cell r="K142">
            <v>45940</v>
          </cell>
        </row>
        <row r="143">
          <cell r="A143" t="str">
            <v>Royal</v>
          </cell>
          <cell r="B143" t="str">
            <v>Polvo para hornear</v>
          </cell>
          <cell r="C143">
            <v>80</v>
          </cell>
          <cell r="D143" t="str">
            <v>KG</v>
          </cell>
          <cell r="E143">
            <v>2835</v>
          </cell>
          <cell r="F143">
            <v>35.4375</v>
          </cell>
          <cell r="G143">
            <v>52</v>
          </cell>
          <cell r="H143" t="str">
            <v>KG</v>
          </cell>
          <cell r="I143" t="str">
            <v>Verificado</v>
          </cell>
          <cell r="J143">
            <v>1842.75</v>
          </cell>
          <cell r="K143">
            <v>46042</v>
          </cell>
        </row>
        <row r="144">
          <cell r="A144" t="str">
            <v>Sal</v>
          </cell>
          <cell r="B144" t="str">
            <v>Sal en costalito de 1 kg</v>
          </cell>
          <cell r="C144">
            <v>12</v>
          </cell>
          <cell r="D144" t="str">
            <v>KG</v>
          </cell>
          <cell r="E144">
            <v>176.5</v>
          </cell>
          <cell r="F144">
            <v>14.708333333333334</v>
          </cell>
          <cell r="G144">
            <v>11</v>
          </cell>
          <cell r="H144" t="str">
            <v>KG</v>
          </cell>
          <cell r="I144" t="str">
            <v>Verificado</v>
          </cell>
          <cell r="J144">
            <v>161.79166666666669</v>
          </cell>
          <cell r="K144">
            <v>46042</v>
          </cell>
        </row>
        <row r="145">
          <cell r="A145" t="str">
            <v>Snicker's</v>
          </cell>
          <cell r="B145" t="str">
            <v>Chocolate Snicker's</v>
          </cell>
          <cell r="C145">
            <v>110.592</v>
          </cell>
          <cell r="D145" t="str">
            <v>KG</v>
          </cell>
          <cell r="E145">
            <v>32750.14</v>
          </cell>
          <cell r="F145">
            <v>296.13480179398147</v>
          </cell>
          <cell r="G145">
            <v>71.424000000000007</v>
          </cell>
          <cell r="H145" t="str">
            <v>KG</v>
          </cell>
          <cell r="I145" t="str">
            <v>Verificado</v>
          </cell>
          <cell r="J145">
            <v>21151.132083333334</v>
          </cell>
          <cell r="K145">
            <v>46042</v>
          </cell>
        </row>
        <row r="146">
          <cell r="A146" t="str">
            <v>Tapa Vasos Domo</v>
          </cell>
          <cell r="B146" t="str">
            <v>Tapadera hueca para vasos con crema</v>
          </cell>
          <cell r="C146">
            <v>1000</v>
          </cell>
          <cell r="D146" t="str">
            <v>PZ</v>
          </cell>
          <cell r="E146">
            <v>834.66</v>
          </cell>
          <cell r="F146">
            <v>0.83465999999999996</v>
          </cell>
          <cell r="G146">
            <v>2200</v>
          </cell>
          <cell r="H146" t="str">
            <v>PZ</v>
          </cell>
          <cell r="I146" t="str">
            <v>Verificado</v>
          </cell>
          <cell r="J146">
            <v>1836.252</v>
          </cell>
          <cell r="K146">
            <v>46024</v>
          </cell>
        </row>
        <row r="147">
          <cell r="A147" t="str">
            <v>Tapa Vasos Domo 16y20oz</v>
          </cell>
          <cell r="C147">
            <v>2000</v>
          </cell>
          <cell r="D147" t="str">
            <v>PZ</v>
          </cell>
          <cell r="E147">
            <v>2017.32</v>
          </cell>
          <cell r="F147">
            <v>1.0086599999999999</v>
          </cell>
          <cell r="G147"/>
          <cell r="I147" t="str">
            <v>Verificado</v>
          </cell>
          <cell r="J147">
            <v>0</v>
          </cell>
          <cell r="K147">
            <v>46042</v>
          </cell>
        </row>
        <row r="148">
          <cell r="A148" t="str">
            <v>Vainilla</v>
          </cell>
          <cell r="B148" t="str">
            <v>Vainilla Molina 4/400 ML</v>
          </cell>
          <cell r="C148">
            <v>64</v>
          </cell>
          <cell r="D148" t="str">
            <v>LT</v>
          </cell>
          <cell r="E148">
            <v>4455.79</v>
          </cell>
          <cell r="F148">
            <v>69.621718749999999</v>
          </cell>
          <cell r="G148">
            <v>40</v>
          </cell>
          <cell r="H148" t="str">
            <v>LT</v>
          </cell>
          <cell r="I148" t="str">
            <v>Verificado</v>
          </cell>
          <cell r="J148">
            <v>2784.8687500000001</v>
          </cell>
          <cell r="K148">
            <v>46042</v>
          </cell>
        </row>
        <row r="149">
          <cell r="A149" t="str">
            <v>Vainilla Dawn</v>
          </cell>
          <cell r="B149" t="str">
            <v>DAWN Cake BS Cream Spec</v>
          </cell>
          <cell r="C149">
            <v>1632.96</v>
          </cell>
          <cell r="D149" t="str">
            <v>KG</v>
          </cell>
          <cell r="E149">
            <v>72841.600000000006</v>
          </cell>
          <cell r="F149">
            <v>44.607093866353125</v>
          </cell>
          <cell r="G149">
            <v>226.8</v>
          </cell>
          <cell r="H149" t="str">
            <v>KG</v>
          </cell>
          <cell r="I149" t="str">
            <v>Verificado</v>
          </cell>
          <cell r="J149">
            <v>10116.888888888889</v>
          </cell>
          <cell r="K149">
            <v>46042</v>
          </cell>
        </row>
        <row r="150">
          <cell r="A150" t="str">
            <v>Vaso12oz</v>
          </cell>
          <cell r="B150" t="str">
            <v>Vaso12ozMC</v>
          </cell>
          <cell r="C150">
            <v>5000</v>
          </cell>
          <cell r="D150" t="str">
            <v>PZ</v>
          </cell>
          <cell r="E150">
            <v>11191.31</v>
          </cell>
          <cell r="F150">
            <v>2.2382619999999998</v>
          </cell>
          <cell r="G150">
            <v>6800</v>
          </cell>
          <cell r="H150" t="str">
            <v>PZ</v>
          </cell>
          <cell r="I150" t="str">
            <v>Verificado</v>
          </cell>
          <cell r="J150">
            <v>15220.181599999998</v>
          </cell>
          <cell r="K150">
            <v>46042</v>
          </cell>
        </row>
        <row r="151">
          <cell r="A151" t="str">
            <v>Vaso16oz</v>
          </cell>
          <cell r="C151">
            <v>2000</v>
          </cell>
          <cell r="D151" t="str">
            <v>PZ</v>
          </cell>
          <cell r="E151">
            <v>4847.25</v>
          </cell>
          <cell r="F151">
            <v>2.4236249999999999</v>
          </cell>
          <cell r="G151"/>
          <cell r="I151" t="str">
            <v>Verificado</v>
          </cell>
          <cell r="J151">
            <v>0</v>
          </cell>
          <cell r="K151">
            <v>46042</v>
          </cell>
        </row>
        <row r="152">
          <cell r="A152" t="str">
            <v>Vaso20oz</v>
          </cell>
          <cell r="C152">
            <v>2000</v>
          </cell>
          <cell r="D152" t="str">
            <v>PZ</v>
          </cell>
          <cell r="E152">
            <v>5543.25</v>
          </cell>
          <cell r="F152">
            <v>2.7716249999999998</v>
          </cell>
          <cell r="G152"/>
          <cell r="I152" t="str">
            <v>Verificado</v>
          </cell>
          <cell r="J152">
            <v>0</v>
          </cell>
          <cell r="K152">
            <v>46042</v>
          </cell>
        </row>
        <row r="153">
          <cell r="A153" t="str">
            <v>Vaso9oz</v>
          </cell>
          <cell r="B153" t="str">
            <v>Vaso9ozMC</v>
          </cell>
          <cell r="C153">
            <v>1000</v>
          </cell>
          <cell r="D153" t="str">
            <v>PZ</v>
          </cell>
          <cell r="E153">
            <v>1543.28</v>
          </cell>
          <cell r="F153">
            <v>1.54328</v>
          </cell>
          <cell r="G153">
            <v>2950</v>
          </cell>
          <cell r="H153" t="str">
            <v>PZ</v>
          </cell>
          <cell r="I153" t="str">
            <v>Verificado</v>
          </cell>
          <cell r="J153">
            <v>4552.6760000000004</v>
          </cell>
          <cell r="K153">
            <v>46024</v>
          </cell>
        </row>
        <row r="154">
          <cell r="A154" t="str">
            <v>Vinagre de Manzana</v>
          </cell>
          <cell r="B154" t="str">
            <v>Vinagre de manzana 500 ml</v>
          </cell>
          <cell r="C154">
            <v>2</v>
          </cell>
          <cell r="D154" t="str">
            <v>LT</v>
          </cell>
          <cell r="E154">
            <v>60.6</v>
          </cell>
          <cell r="F154">
            <v>30.3</v>
          </cell>
          <cell r="G154">
            <v>2</v>
          </cell>
          <cell r="H154" t="str">
            <v>LT</v>
          </cell>
          <cell r="I154" t="str">
            <v>Verificado</v>
          </cell>
          <cell r="J154">
            <v>60.6</v>
          </cell>
          <cell r="K154">
            <v>46042</v>
          </cell>
        </row>
        <row r="155">
          <cell r="A155" t="str">
            <v>Zanahoria</v>
          </cell>
          <cell r="B155" t="str">
            <v>Zanahoria</v>
          </cell>
          <cell r="C155">
            <v>41.8</v>
          </cell>
          <cell r="D155" t="str">
            <v>KG</v>
          </cell>
          <cell r="E155">
            <v>699.6</v>
          </cell>
          <cell r="F155">
            <v>16.736842105263161</v>
          </cell>
          <cell r="G155">
            <v>0</v>
          </cell>
          <cell r="H155" t="str">
            <v>KG</v>
          </cell>
          <cell r="I155" t="str">
            <v>Verificado</v>
          </cell>
          <cell r="J155">
            <v>0</v>
          </cell>
          <cell r="K155">
            <v>46042</v>
          </cell>
        </row>
        <row r="156">
          <cell r="A156" t="str">
            <v>Zuko</v>
          </cell>
          <cell r="B156" t="str">
            <v>Zuko sabor fresa</v>
          </cell>
          <cell r="C156">
            <v>2.5</v>
          </cell>
          <cell r="D156" t="str">
            <v>KG</v>
          </cell>
          <cell r="E156">
            <v>1766.91</v>
          </cell>
          <cell r="F156">
            <v>706.76400000000001</v>
          </cell>
          <cell r="G156">
            <v>6.86</v>
          </cell>
          <cell r="H156" t="str">
            <v>KG</v>
          </cell>
          <cell r="I156" t="str">
            <v>Verificado</v>
          </cell>
          <cell r="J156">
            <v>4848.4010400000006</v>
          </cell>
          <cell r="K156">
            <v>46042</v>
          </cell>
        </row>
        <row r="157">
          <cell r="B157" t="str">
            <v>Kiwi</v>
          </cell>
          <cell r="C157">
            <v>0</v>
          </cell>
          <cell r="D157" t="str">
            <v>KG</v>
          </cell>
          <cell r="E157">
            <v>0</v>
          </cell>
          <cell r="F157">
            <v>0</v>
          </cell>
          <cell r="G157"/>
          <cell r="H157" t="str">
            <v>KG</v>
          </cell>
          <cell r="I157" t="str">
            <v>Verificado</v>
          </cell>
          <cell r="J157">
            <v>0</v>
          </cell>
          <cell r="K157">
            <v>45862</v>
          </cell>
        </row>
        <row r="158">
          <cell r="B158" t="str">
            <v>Uva</v>
          </cell>
          <cell r="C158">
            <v>0</v>
          </cell>
          <cell r="D158" t="str">
            <v>KG</v>
          </cell>
          <cell r="E158">
            <v>0</v>
          </cell>
          <cell r="F158">
            <v>0</v>
          </cell>
          <cell r="G158"/>
          <cell r="H158" t="str">
            <v>KG</v>
          </cell>
          <cell r="I158" t="str">
            <v>Verificado</v>
          </cell>
          <cell r="J158">
            <v>0</v>
          </cell>
          <cell r="K158">
            <v>45862</v>
          </cell>
        </row>
        <row r="159">
          <cell r="B159" t="str">
            <v>Arándanos</v>
          </cell>
          <cell r="C159">
            <v>0</v>
          </cell>
          <cell r="D159" t="str">
            <v>KG</v>
          </cell>
          <cell r="E159">
            <v>0</v>
          </cell>
          <cell r="F159">
            <v>0</v>
          </cell>
          <cell r="G159"/>
          <cell r="H159" t="str">
            <v>KG</v>
          </cell>
          <cell r="I159" t="str">
            <v>Verificado</v>
          </cell>
          <cell r="J159">
            <v>0</v>
          </cell>
          <cell r="K159">
            <v>45862</v>
          </cell>
        </row>
        <row r="160">
          <cell r="B160" t="str">
            <v>Dátil</v>
          </cell>
          <cell r="C160">
            <v>0</v>
          </cell>
          <cell r="D160" t="str">
            <v>KG</v>
          </cell>
          <cell r="E160">
            <v>0</v>
          </cell>
          <cell r="F160">
            <v>0</v>
          </cell>
          <cell r="G160"/>
          <cell r="H160" t="str">
            <v>KG</v>
          </cell>
          <cell r="I160" t="str">
            <v>Verificado</v>
          </cell>
          <cell r="J160">
            <v>0</v>
          </cell>
          <cell r="K160">
            <v>45862</v>
          </cell>
        </row>
        <row r="161">
          <cell r="B161" t="str">
            <v>Datil Jeque</v>
          </cell>
          <cell r="C161">
            <v>0</v>
          </cell>
          <cell r="D161" t="str">
            <v>PZ</v>
          </cell>
          <cell r="E161">
            <v>0</v>
          </cell>
          <cell r="F161">
            <v>0</v>
          </cell>
          <cell r="G161"/>
          <cell r="H161" t="str">
            <v>PZ</v>
          </cell>
          <cell r="I161" t="str">
            <v>Verificado</v>
          </cell>
          <cell r="J161">
            <v>0</v>
          </cell>
          <cell r="K161">
            <v>45862</v>
          </cell>
        </row>
        <row r="162">
          <cell r="B162" t="str">
            <v>MM MIX 322B1 Pilas</v>
          </cell>
          <cell r="C162">
            <v>0</v>
          </cell>
          <cell r="D162" t="str">
            <v>PZ</v>
          </cell>
          <cell r="E162">
            <v>0</v>
          </cell>
          <cell r="F162">
            <v>0</v>
          </cell>
          <cell r="G162"/>
          <cell r="H162" t="str">
            <v>PZ</v>
          </cell>
          <cell r="I162" t="str">
            <v>Verificado</v>
          </cell>
          <cell r="J162">
            <v>0</v>
          </cell>
          <cell r="K162">
            <v>45862</v>
          </cell>
        </row>
        <row r="163">
          <cell r="B163" t="str">
            <v>210 Bolsas de basura</v>
          </cell>
          <cell r="C163">
            <v>0</v>
          </cell>
          <cell r="D163" t="str">
            <v>PZ</v>
          </cell>
          <cell r="E163">
            <v>0</v>
          </cell>
          <cell r="F163">
            <v>0</v>
          </cell>
          <cell r="G163"/>
          <cell r="H163" t="str">
            <v>PZ</v>
          </cell>
          <cell r="I163" t="str">
            <v>Verificado</v>
          </cell>
          <cell r="J163">
            <v>0</v>
          </cell>
          <cell r="K163">
            <v>45862</v>
          </cell>
        </row>
        <row r="164">
          <cell r="B164" t="str">
            <v>Rollos Toalla</v>
          </cell>
          <cell r="C164">
            <v>0</v>
          </cell>
          <cell r="D164" t="str">
            <v>PZ</v>
          </cell>
          <cell r="E164">
            <v>0</v>
          </cell>
          <cell r="F164">
            <v>0</v>
          </cell>
          <cell r="G164"/>
          <cell r="H164" t="str">
            <v>PZ</v>
          </cell>
          <cell r="I164" t="str">
            <v>Verificado</v>
          </cell>
          <cell r="J164">
            <v>0</v>
          </cell>
          <cell r="K164">
            <v>45862</v>
          </cell>
        </row>
        <row r="165">
          <cell r="B165" t="str">
            <v>100 Bolsa de basura</v>
          </cell>
          <cell r="C165">
            <v>0</v>
          </cell>
          <cell r="D165" t="str">
            <v>PZ</v>
          </cell>
          <cell r="E165">
            <v>0</v>
          </cell>
          <cell r="F165">
            <v>0</v>
          </cell>
          <cell r="G165"/>
          <cell r="H165" t="str">
            <v>PZ</v>
          </cell>
          <cell r="I165" t="str">
            <v>Verificado</v>
          </cell>
          <cell r="J165">
            <v>0</v>
          </cell>
          <cell r="K165">
            <v>45862</v>
          </cell>
        </row>
        <row r="166">
          <cell r="B166" t="str">
            <v>8 piezas de cintas adhesivas</v>
          </cell>
          <cell r="C166">
            <v>0</v>
          </cell>
          <cell r="D166" t="str">
            <v>PZ</v>
          </cell>
          <cell r="E166">
            <v>0</v>
          </cell>
          <cell r="F166">
            <v>0</v>
          </cell>
          <cell r="G166"/>
          <cell r="H166" t="str">
            <v>PZ</v>
          </cell>
          <cell r="I166" t="str">
            <v>Verificado</v>
          </cell>
          <cell r="J166">
            <v>0</v>
          </cell>
          <cell r="K166">
            <v>45862</v>
          </cell>
        </row>
        <row r="167">
          <cell r="B167" t="str">
            <v>Pinol memories</v>
          </cell>
          <cell r="C167">
            <v>0</v>
          </cell>
          <cell r="D167" t="str">
            <v>PZ</v>
          </cell>
          <cell r="E167">
            <v>0</v>
          </cell>
          <cell r="F167">
            <v>0</v>
          </cell>
          <cell r="G167"/>
          <cell r="H167" t="str">
            <v>PZ</v>
          </cell>
          <cell r="I167" t="str">
            <v>Verificado</v>
          </cell>
          <cell r="J167">
            <v>0</v>
          </cell>
          <cell r="K167">
            <v>45862</v>
          </cell>
        </row>
        <row r="168">
          <cell r="B168" t="str">
            <v>Power Clean</v>
          </cell>
          <cell r="C168">
            <v>0</v>
          </cell>
          <cell r="D168" t="str">
            <v>PZ</v>
          </cell>
          <cell r="E168">
            <v>0</v>
          </cell>
          <cell r="F168">
            <v>0</v>
          </cell>
          <cell r="G168"/>
          <cell r="H168" t="str">
            <v>PZ</v>
          </cell>
          <cell r="I168" t="str">
            <v>Verificado</v>
          </cell>
          <cell r="J168">
            <v>0</v>
          </cell>
          <cell r="K168">
            <v>45862</v>
          </cell>
        </row>
        <row r="169">
          <cell r="B169" t="str">
            <v>Suavel 40/240 Papel de baño</v>
          </cell>
          <cell r="C169">
            <v>0</v>
          </cell>
          <cell r="D169" t="str">
            <v>PZ</v>
          </cell>
          <cell r="E169">
            <v>0</v>
          </cell>
          <cell r="F169">
            <v>0</v>
          </cell>
          <cell r="G169"/>
          <cell r="H169" t="str">
            <v>PZ</v>
          </cell>
          <cell r="I169" t="str">
            <v>Verificado</v>
          </cell>
          <cell r="J169">
            <v>0</v>
          </cell>
          <cell r="K169">
            <v>45862</v>
          </cell>
        </row>
        <row r="170">
          <cell r="A170" t="str">
            <v>Etiqueta San Valentin 8cm</v>
          </cell>
          <cell r="B170" t="str">
            <v>Etiquetas San Valentin 8cm</v>
          </cell>
          <cell r="C170">
            <v>80</v>
          </cell>
          <cell r="D170" t="str">
            <v>PZ</v>
          </cell>
          <cell r="E170">
            <v>290</v>
          </cell>
          <cell r="F170">
            <v>3.625</v>
          </cell>
          <cell r="G170"/>
          <cell r="H170" t="str">
            <v>PZ</v>
          </cell>
          <cell r="I170" t="str">
            <v>Verificado</v>
          </cell>
          <cell r="J170">
            <v>0</v>
          </cell>
          <cell r="K170">
            <v>46050</v>
          </cell>
        </row>
        <row r="171">
          <cell r="A171" t="str">
            <v>Fajita caja rosa san valentin</v>
          </cell>
          <cell r="B171" t="str">
            <v>Fajita caja rosa san valentin</v>
          </cell>
          <cell r="C171">
            <v>80</v>
          </cell>
          <cell r="D171" t="str">
            <v>PZ</v>
          </cell>
          <cell r="E171">
            <v>380</v>
          </cell>
          <cell r="F171">
            <v>4.75</v>
          </cell>
          <cell r="G171"/>
          <cell r="H171" t="str">
            <v>PZ</v>
          </cell>
          <cell r="I171" t="str">
            <v>Verificado</v>
          </cell>
          <cell r="J171">
            <v>0</v>
          </cell>
          <cell r="K171">
            <v>46050</v>
          </cell>
        </row>
        <row r="172">
          <cell r="A172" t="str">
            <v>Fajita 4 bollos san valentin</v>
          </cell>
          <cell r="B172" t="str">
            <v>Fajita 4 bollos san valentin</v>
          </cell>
          <cell r="C172">
            <v>130</v>
          </cell>
          <cell r="D172" t="str">
            <v>PZ</v>
          </cell>
          <cell r="E172">
            <v>627</v>
          </cell>
          <cell r="F172">
            <v>4.8230769230769228</v>
          </cell>
          <cell r="G172"/>
          <cell r="H172" t="str">
            <v>PZ</v>
          </cell>
          <cell r="I172" t="str">
            <v>Verificado</v>
          </cell>
          <cell r="J172">
            <v>0</v>
          </cell>
          <cell r="K172">
            <v>46050</v>
          </cell>
        </row>
        <row r="173">
          <cell r="A173" t="str">
            <v>Fajita 2 bollos san valentin</v>
          </cell>
          <cell r="B173" t="str">
            <v>Fajita 2 bollos san valentin</v>
          </cell>
          <cell r="C173">
            <v>130</v>
          </cell>
          <cell r="D173" t="str">
            <v>PZ</v>
          </cell>
          <cell r="E173">
            <v>361</v>
          </cell>
          <cell r="F173">
            <v>2.7769230769230768</v>
          </cell>
          <cell r="G173"/>
          <cell r="H173" t="str">
            <v>PZ</v>
          </cell>
          <cell r="I173" t="str">
            <v>Verificado</v>
          </cell>
          <cell r="J173">
            <v>0</v>
          </cell>
          <cell r="K173">
            <v>46050</v>
          </cell>
        </row>
        <row r="174">
          <cell r="A174" t="str">
            <v>Tarjeta san valentin 6x8 cm</v>
          </cell>
          <cell r="B174" t="str">
            <v>Tarjetas san valentin 6x8 cm</v>
          </cell>
          <cell r="C174">
            <v>80</v>
          </cell>
          <cell r="D174" t="str">
            <v>PZ</v>
          </cell>
          <cell r="E174">
            <v>165</v>
          </cell>
          <cell r="F174">
            <v>2.0625</v>
          </cell>
          <cell r="G174"/>
          <cell r="H174" t="str">
            <v>PZ</v>
          </cell>
          <cell r="I174" t="str">
            <v>Verificado</v>
          </cell>
          <cell r="J174">
            <v>0</v>
          </cell>
          <cell r="K174">
            <v>46050</v>
          </cell>
        </row>
        <row r="175">
          <cell r="E175"/>
          <cell r="F175">
            <v>0</v>
          </cell>
          <cell r="G175"/>
          <cell r="J175">
            <v>0</v>
          </cell>
          <cell r="K175"/>
        </row>
        <row r="176">
          <cell r="B176" t="str">
            <v>6PK Zote Ros (Jabon Pastilla)</v>
          </cell>
          <cell r="C176">
            <v>0</v>
          </cell>
          <cell r="D176" t="str">
            <v>PZ</v>
          </cell>
          <cell r="E176">
            <v>0</v>
          </cell>
          <cell r="F176">
            <v>0</v>
          </cell>
          <cell r="G176"/>
          <cell r="H176" t="str">
            <v>PZ</v>
          </cell>
          <cell r="I176" t="str">
            <v>Verificado</v>
          </cell>
          <cell r="J176">
            <v>0</v>
          </cell>
          <cell r="K176">
            <v>45862</v>
          </cell>
        </row>
        <row r="177">
          <cell r="C177" t="str">
            <v>TOTAL COMPRAS</v>
          </cell>
          <cell r="E177">
            <v>273651.46000000002</v>
          </cell>
          <cell r="F177">
            <v>0</v>
          </cell>
          <cell r="G177"/>
          <cell r="I177" t="str">
            <v>TOTAL</v>
          </cell>
          <cell r="J177">
            <v>315092.01237373735</v>
          </cell>
        </row>
      </sheetData>
      <sheetData sheetId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PAN"/>
      <sheetName val="INSUMOS"/>
      <sheetName val="ARMADO- EMBETUNADO"/>
      <sheetName val="P. CRUCERO"/>
    </sheetNames>
    <sheetDataSet>
      <sheetData sheetId="0">
        <row r="12">
          <cell r="L12">
            <v>3.8274538248756849</v>
          </cell>
        </row>
        <row r="13">
          <cell r="L13">
            <v>2.5516358832504569</v>
          </cell>
        </row>
        <row r="14">
          <cell r="L14">
            <v>1.530981529950274</v>
          </cell>
        </row>
        <row r="15">
          <cell r="L15">
            <v>0.69590069543194277</v>
          </cell>
        </row>
        <row r="16">
          <cell r="L16">
            <v>5.3333104353866583</v>
          </cell>
        </row>
        <row r="17">
          <cell r="L17">
            <v>3.5555402902577722</v>
          </cell>
        </row>
        <row r="18">
          <cell r="L18">
            <v>2.1333241741546631</v>
          </cell>
        </row>
        <row r="19">
          <cell r="L19">
            <v>0.96969280643393785</v>
          </cell>
        </row>
        <row r="20">
          <cell r="L20">
            <v>4.8738965542138191</v>
          </cell>
        </row>
        <row r="21">
          <cell r="L21">
            <v>3.2492643694758794</v>
          </cell>
        </row>
        <row r="22">
          <cell r="L22">
            <v>1.9604500106334917</v>
          </cell>
        </row>
        <row r="23">
          <cell r="L23">
            <v>1.8277112078301823</v>
          </cell>
        </row>
        <row r="24">
          <cell r="L24">
            <v>5.8831670180555546</v>
          </cell>
        </row>
        <row r="25">
          <cell r="L25">
            <v>0.78442226907407386</v>
          </cell>
        </row>
        <row r="26">
          <cell r="L26">
            <v>13.226813091077439</v>
          </cell>
        </row>
        <row r="27">
          <cell r="L27">
            <v>8.8178753940516259</v>
          </cell>
        </row>
        <row r="28">
          <cell r="L28">
            <v>5.2907252364309754</v>
          </cell>
        </row>
        <row r="29">
          <cell r="L29">
            <v>2.4048751074686252</v>
          </cell>
        </row>
        <row r="30">
          <cell r="L30">
            <v>13.804245359132993</v>
          </cell>
        </row>
        <row r="31">
          <cell r="L31">
            <v>9.2028302394219956</v>
          </cell>
        </row>
        <row r="32">
          <cell r="L32">
            <v>19.672709030839115</v>
          </cell>
        </row>
        <row r="33">
          <cell r="L33">
            <v>13.115139353892744</v>
          </cell>
        </row>
      </sheetData>
      <sheetData sheetId="1">
        <row r="11">
          <cell r="K11">
            <v>0.39050179899691345</v>
          </cell>
        </row>
        <row r="12">
          <cell r="K12">
            <v>1.9249184965342434</v>
          </cell>
        </row>
        <row r="13">
          <cell r="K13">
            <v>3.0627592078189294</v>
          </cell>
        </row>
        <row r="14">
          <cell r="K14">
            <v>1.092475834023773</v>
          </cell>
        </row>
        <row r="15">
          <cell r="K15">
            <v>1.2667042069756584</v>
          </cell>
        </row>
        <row r="16">
          <cell r="K16">
            <v>1.3576286049497877</v>
          </cell>
        </row>
        <row r="17">
          <cell r="K17">
            <v>12.275941228885785</v>
          </cell>
        </row>
        <row r="18">
          <cell r="K18">
            <v>6.2655723866331883</v>
          </cell>
        </row>
        <row r="19">
          <cell r="K19">
            <v>4.5703249305555547</v>
          </cell>
        </row>
        <row r="20">
          <cell r="K20">
            <v>1.3049819232253084</v>
          </cell>
        </row>
      </sheetData>
      <sheetData sheetId="2">
        <row r="7">
          <cell r="G7">
            <v>4.5941388117283939</v>
          </cell>
        </row>
        <row r="8">
          <cell r="G8">
            <v>2.0214210771604937</v>
          </cell>
        </row>
        <row r="9">
          <cell r="G9">
            <v>6.0976751501122317</v>
          </cell>
        </row>
        <row r="10">
          <cell r="G10">
            <v>8.0532550935003613</v>
          </cell>
        </row>
        <row r="11">
          <cell r="G11">
            <v>7.2281117304526727</v>
          </cell>
        </row>
        <row r="12">
          <cell r="G12">
            <v>4.6776686083052743</v>
          </cell>
        </row>
        <row r="13">
          <cell r="G13">
            <v>7.2812766072676416</v>
          </cell>
        </row>
      </sheetData>
      <sheetData sheetId="3" refreshError="1"/>
    </sheetDataSet>
  </externalBook>
</externalLink>
</file>

<file path=xl/persons/person.xml><?xml version="1.0" encoding="utf-8"?>
<personList xmlns="http://schemas.microsoft.com/office/spreadsheetml/2018/threadedcomments" xmlns:x="http://schemas.openxmlformats.org/spreadsheetml/2006/main">
  <person displayName="Pollyana's Dolce Pastelería" id="{09354BDB-4B4A-4318-9FCE-4EF2B3FDC115}" userId="34d24304b8d83f35" providerId="Windows Live"/>
</personList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DA2CD043-7602-4A99-81B3-AFC8F2C0B8FC}" name="TablaPrecios" displayName="TablaPrecios" ref="A2:L181" totalsRowShown="0">
  <autoFilter ref="A2:L181" xr:uid="{8BB6122B-F938-450A-998E-BBB5D62C73C5}"/>
  <tableColumns count="12">
    <tableColumn id="1" xr3:uid="{2833F5DF-91AF-4F69-9120-198E8F63410E}" name="Proveedor"/>
    <tableColumn id="2" xr3:uid="{7E429A40-A33F-4159-81CB-F45B79BE3488}" name="Nombre Corto"/>
    <tableColumn id="3" xr3:uid="{9B4E1F40-3CA0-4951-8D23-F223469A2398}" name="Código de Barras" dataDxfId="5"/>
    <tableColumn id="4" xr3:uid="{A2177FD4-1367-40B0-9D9A-D081A71D2F2C}" name="Producto"/>
    <tableColumn id="5" xr3:uid="{74304729-E530-4A90-9225-0EB5D1745831}" name="Descripción"/>
    <tableColumn id="6" xr3:uid="{8B60390F-19CE-430D-B502-5492F623B28E}" name="Cantidad">
      <calculatedColumnFormula>_xlfn.IFNA(VLOOKUP(TablaPrecios[[#This Row],[Producto]],'[1]Costo Materia Prima'!A$3:K$424,3,FALSE),"")</calculatedColumnFormula>
    </tableColumn>
    <tableColumn id="7" xr3:uid="{FD8C6C18-C785-42E5-935A-FFF08A061289}" name="Unidad">
      <calculatedColumnFormula>_xlfn.IFNA(VLOOKUP(TablaPrecios[[#This Row],[Producto]],'[1]Costo Materia Prima'!A$3:K$424,4,FALSE),"")</calculatedColumnFormula>
    </tableColumn>
    <tableColumn id="8" xr3:uid="{462136B4-B443-459C-8D43-207151CCD484}" name="Precio" dataDxfId="4" dataCellStyle="Moneda">
      <calculatedColumnFormula>_xlfn.IFNA(VLOOKUP(TablaPrecios[[#This Row],[Producto]],'[1]Costo Materia Prima'!A$3:K$424,5,FALSE),"")</calculatedColumnFormula>
    </tableColumn>
    <tableColumn id="9" xr3:uid="{371C2C7E-F8EB-427C-B3B3-954F6312CD38}" name="Costo" dataDxfId="3" dataCellStyle="Moneda">
      <calculatedColumnFormula>IFERROR(TablaPrecios[[#This Row],[Precio]]/TablaPrecios[[#This Row],[Cantidad]],0)</calculatedColumnFormula>
    </tableColumn>
    <tableColumn id="10" xr3:uid="{6B75FFA0-35EF-46BD-9E52-D3AEDE5CF69B}" name="$/Unidad" dataDxfId="2">
      <calculatedColumnFormula>_xlfn.IFNA(VLOOKUP(TablaPrecios[[#This Row],[Producto]],'[1]Costo Materia Prima'!A$3:K$424,8,FALSE),"")</calculatedColumnFormula>
    </tableColumn>
    <tableColumn id="11" xr3:uid="{6B59DD83-21D6-424A-A051-E2793371B7F9}" name="Estado" dataDxfId="1">
      <calculatedColumnFormula>_xlfn.IFNA(VLOOKUP(TablaPrecios[[#This Row],[Producto]],'[1]Costo Materia Prima'!A$3:K$424,9,FALSE),"-")</calculatedColumnFormula>
    </tableColumn>
    <tableColumn id="12" xr3:uid="{35F77BA4-7AF1-49BD-B68E-0BEBA47696E6}" name="Fecha" dataDxfId="0">
      <calculatedColumnFormula>_xlfn.IFNA(VLOOKUP(TablaPrecios[[#This Row],[Producto]],'[1]Costo Materia Prima'!A$3:K$424,11,FALSE),"")</calculatedColumnFormula>
    </tableColumn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A118" dT="2026-01-28T23:03:47.74" personId="{09354BDB-4B4A-4318-9FCE-4EF2B3FDC115}" id="{395A31AC-2080-4BB3-9A17-316AB6269217}">
    <text xml:space="preserve">REVISAR CANELA Y LIMÓN
</text>
  </threadedComment>
</ThreadedComment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3.bin"/><Relationship Id="rId4" Type="http://schemas.microsoft.com/office/2017/10/relationships/threadedComment" Target="../threadedComments/threadedComment1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3C0018-6F03-7340-AE8F-EA99C23FC76B}">
  <sheetPr codeName="Hoja6">
    <pageSetUpPr fitToPage="1"/>
  </sheetPr>
  <dimension ref="A1:V77"/>
  <sheetViews>
    <sheetView topLeftCell="A21" zoomScale="87" workbookViewId="0">
      <selection activeCell="B9" sqref="B9:H9"/>
    </sheetView>
  </sheetViews>
  <sheetFormatPr baseColWidth="10" defaultColWidth="11.5" defaultRowHeight="15" x14ac:dyDescent="0.2"/>
  <cols>
    <col min="2" max="2" width="22.5" bestFit="1" customWidth="1"/>
    <col min="3" max="3" width="9.6640625" bestFit="1" customWidth="1"/>
    <col min="4" max="6" width="13" bestFit="1" customWidth="1"/>
    <col min="7" max="7" width="12.1640625" bestFit="1" customWidth="1"/>
  </cols>
  <sheetData>
    <row r="1" spans="1:22" x14ac:dyDescent="0.2">
      <c r="J1" s="310" t="s">
        <v>663</v>
      </c>
      <c r="K1" s="310"/>
      <c r="L1" s="310"/>
      <c r="M1" s="310"/>
      <c r="N1" s="310"/>
      <c r="O1" s="310"/>
      <c r="Q1" s="310" t="s">
        <v>664</v>
      </c>
      <c r="R1" s="310"/>
      <c r="S1" s="310"/>
      <c r="T1" s="310"/>
      <c r="U1" s="310"/>
      <c r="V1" s="310"/>
    </row>
    <row r="2" spans="1:22" x14ac:dyDescent="0.2">
      <c r="C2" s="310" t="s">
        <v>662</v>
      </c>
      <c r="D2" s="310"/>
      <c r="E2" s="310"/>
      <c r="F2" s="310"/>
      <c r="G2" s="310"/>
      <c r="H2" s="310"/>
      <c r="J2" s="215">
        <v>0.45</v>
      </c>
      <c r="Q2" s="215">
        <v>0.05</v>
      </c>
    </row>
    <row r="3" spans="1:22" ht="16" thickBot="1" x14ac:dyDescent="0.25">
      <c r="A3" s="143" t="s">
        <v>2</v>
      </c>
      <c r="B3" s="143" t="s">
        <v>661</v>
      </c>
      <c r="C3" s="143" t="s">
        <v>375</v>
      </c>
      <c r="D3" s="143" t="s">
        <v>370</v>
      </c>
      <c r="E3" s="143" t="s">
        <v>371</v>
      </c>
      <c r="F3" s="143" t="s">
        <v>372</v>
      </c>
      <c r="G3" s="143" t="s">
        <v>373</v>
      </c>
      <c r="H3" s="143" t="s">
        <v>413</v>
      </c>
      <c r="J3" s="143" t="s">
        <v>375</v>
      </c>
      <c r="K3" s="143" t="s">
        <v>370</v>
      </c>
      <c r="L3" s="143" t="s">
        <v>371</v>
      </c>
      <c r="M3" s="143" t="s">
        <v>372</v>
      </c>
      <c r="N3" s="143" t="s">
        <v>373</v>
      </c>
      <c r="O3" s="143" t="s">
        <v>413</v>
      </c>
      <c r="Q3" s="143" t="s">
        <v>375</v>
      </c>
      <c r="R3" s="143" t="s">
        <v>370</v>
      </c>
      <c r="S3" s="143" t="s">
        <v>371</v>
      </c>
      <c r="T3" s="143" t="s">
        <v>372</v>
      </c>
      <c r="U3" s="143" t="s">
        <v>373</v>
      </c>
      <c r="V3" s="143" t="s">
        <v>413</v>
      </c>
    </row>
    <row r="4" spans="1:22" x14ac:dyDescent="0.2">
      <c r="A4" s="20" t="s">
        <v>414</v>
      </c>
      <c r="B4" s="153" t="s">
        <v>50</v>
      </c>
      <c r="C4" s="13">
        <f>Pay!C53</f>
        <v>18.916120952964206</v>
      </c>
      <c r="D4" s="5">
        <v>0</v>
      </c>
      <c r="E4" s="5">
        <v>0</v>
      </c>
      <c r="F4" s="13">
        <f>Pay!D53</f>
        <v>140.58422840484874</v>
      </c>
      <c r="G4" s="13">
        <f>Pay!E53</f>
        <v>240.03392647362585</v>
      </c>
      <c r="H4" s="13">
        <f>Pay!F53</f>
        <v>32.704880809203232</v>
      </c>
      <c r="I4" s="13"/>
      <c r="J4" s="13">
        <f>C4/$J$2</f>
        <v>42.03582433992046</v>
      </c>
      <c r="K4" s="13">
        <f t="shared" ref="K4:O4" si="0">D4/$J$2</f>
        <v>0</v>
      </c>
      <c r="L4" s="13">
        <f t="shared" si="0"/>
        <v>0</v>
      </c>
      <c r="M4" s="13">
        <f t="shared" si="0"/>
        <v>312.40939645521945</v>
      </c>
      <c r="N4" s="13">
        <f t="shared" si="0"/>
        <v>533.40872549694632</v>
      </c>
      <c r="O4" s="13">
        <f t="shared" si="0"/>
        <v>72.677512909340507</v>
      </c>
      <c r="Q4" s="13">
        <f>J4*(1-$Q$2)</f>
        <v>39.934033122924433</v>
      </c>
      <c r="R4" s="13">
        <f t="shared" ref="R4:V4" si="1">K4*(1-$Q$2)</f>
        <v>0</v>
      </c>
      <c r="S4" s="13">
        <f t="shared" si="1"/>
        <v>0</v>
      </c>
      <c r="T4" s="13">
        <f t="shared" si="1"/>
        <v>296.78892663245847</v>
      </c>
      <c r="U4" s="13">
        <f t="shared" si="1"/>
        <v>506.73828922209896</v>
      </c>
      <c r="V4" s="13">
        <f t="shared" si="1"/>
        <v>69.043637263873478</v>
      </c>
    </row>
    <row r="5" spans="1:22" x14ac:dyDescent="0.2">
      <c r="A5" s="20"/>
      <c r="B5" s="153" t="s">
        <v>103</v>
      </c>
      <c r="C5" s="13">
        <f>Pay!C54</f>
        <v>19.055935486006504</v>
      </c>
      <c r="D5" s="5">
        <v>0</v>
      </c>
      <c r="E5" s="5">
        <v>0</v>
      </c>
      <c r="F5" s="13">
        <f>Pay!D54</f>
        <v>148.26907472378448</v>
      </c>
      <c r="G5" s="13">
        <f>Pay!E54</f>
        <v>240.58042103579899</v>
      </c>
      <c r="H5" s="13">
        <f>Pay!F54</f>
        <v>32.77319262947487</v>
      </c>
      <c r="J5" s="13">
        <f t="shared" ref="J5:J44" si="2">C5/$J$2</f>
        <v>42.346523302236676</v>
      </c>
      <c r="K5" s="13">
        <f t="shared" ref="K5:K44" si="3">D5/$J$2</f>
        <v>0</v>
      </c>
      <c r="L5" s="13">
        <f t="shared" ref="L5:L44" si="4">E5/$J$2</f>
        <v>0</v>
      </c>
      <c r="M5" s="13">
        <f t="shared" ref="M5:M44" si="5">F5/$J$2</f>
        <v>329.48683271952109</v>
      </c>
      <c r="N5" s="13">
        <f t="shared" ref="N5:N44" si="6">G5/$J$2</f>
        <v>534.62315785733108</v>
      </c>
      <c r="O5" s="13">
        <f t="shared" ref="O5:O44" si="7">H5/$J$2</f>
        <v>72.829316954388602</v>
      </c>
      <c r="Q5" s="13">
        <f t="shared" ref="Q5:Q44" si="8">J5*(1-$Q$2)</f>
        <v>40.229197137124842</v>
      </c>
      <c r="R5" s="13">
        <f t="shared" ref="R5:R44" si="9">K5*(1-$Q$2)</f>
        <v>0</v>
      </c>
      <c r="S5" s="13">
        <f t="shared" ref="S5:S44" si="10">L5*(1-$Q$2)</f>
        <v>0</v>
      </c>
      <c r="T5" s="13">
        <f t="shared" ref="T5:T44" si="11">M5*(1-$Q$2)</f>
        <v>313.012491083545</v>
      </c>
      <c r="U5" s="13">
        <f t="shared" ref="U5:U44" si="12">N5*(1-$Q$2)</f>
        <v>507.8919999644645</v>
      </c>
      <c r="V5" s="13">
        <f t="shared" ref="V5:V44" si="13">O5*(1-$Q$2)</f>
        <v>69.187851106669171</v>
      </c>
    </row>
    <row r="6" spans="1:22" x14ac:dyDescent="0.2">
      <c r="A6" s="20"/>
      <c r="B6" s="153" t="s">
        <v>415</v>
      </c>
      <c r="C6" s="13">
        <f>Pay!C55</f>
        <v>20.11006006739197</v>
      </c>
      <c r="D6" s="5">
        <v>0</v>
      </c>
      <c r="E6" s="5">
        <v>0</v>
      </c>
      <c r="F6" s="13">
        <f>Pay!D55</f>
        <v>135.33744111154036</v>
      </c>
      <c r="G6" s="13">
        <f>Pay!E55</f>
        <v>229.02897713660425</v>
      </c>
      <c r="H6" s="13">
        <f>Pay!F55</f>
        <v>31.329262142075532</v>
      </c>
      <c r="J6" s="13">
        <f t="shared" si="2"/>
        <v>44.689022371982155</v>
      </c>
      <c r="K6" s="13">
        <f t="shared" si="3"/>
        <v>0</v>
      </c>
      <c r="L6" s="13">
        <f t="shared" si="4"/>
        <v>0</v>
      </c>
      <c r="M6" s="13">
        <f t="shared" si="5"/>
        <v>300.74986913675633</v>
      </c>
      <c r="N6" s="13">
        <f t="shared" si="6"/>
        <v>508.95328252578724</v>
      </c>
      <c r="O6" s="13">
        <f t="shared" si="7"/>
        <v>69.620582537945623</v>
      </c>
      <c r="Q6" s="13">
        <f t="shared" si="8"/>
        <v>42.454571253383044</v>
      </c>
      <c r="R6" s="13">
        <f t="shared" si="9"/>
        <v>0</v>
      </c>
      <c r="S6" s="13">
        <f t="shared" si="10"/>
        <v>0</v>
      </c>
      <c r="T6" s="13">
        <f t="shared" si="11"/>
        <v>285.71237567991852</v>
      </c>
      <c r="U6" s="13">
        <f t="shared" si="12"/>
        <v>483.50561839949785</v>
      </c>
      <c r="V6" s="13">
        <f t="shared" si="13"/>
        <v>66.13955341104834</v>
      </c>
    </row>
    <row r="7" spans="1:22" x14ac:dyDescent="0.2">
      <c r="A7" s="20"/>
      <c r="B7" s="153" t="s">
        <v>416</v>
      </c>
      <c r="C7" s="13">
        <f>Pay!C57</f>
        <v>18.623235486006504</v>
      </c>
      <c r="D7" s="5">
        <v>0</v>
      </c>
      <c r="E7" s="5">
        <v>0</v>
      </c>
      <c r="F7" s="13">
        <f>Pay!D57</f>
        <v>139.81162147703122</v>
      </c>
      <c r="G7" s="13">
        <f>Pay!E57</f>
        <v>238.53794441242235</v>
      </c>
      <c r="H7" s="13">
        <f>Pay!F57</f>
        <v>32.517883051552793</v>
      </c>
      <c r="J7" s="13">
        <f t="shared" si="2"/>
        <v>41.38496774668112</v>
      </c>
      <c r="K7" s="13">
        <f t="shared" si="3"/>
        <v>0</v>
      </c>
      <c r="L7" s="13">
        <f t="shared" si="4"/>
        <v>0</v>
      </c>
      <c r="M7" s="13">
        <f t="shared" si="5"/>
        <v>310.6924921711805</v>
      </c>
      <c r="N7" s="13">
        <f t="shared" si="6"/>
        <v>530.08432091649411</v>
      </c>
      <c r="O7" s="13">
        <f t="shared" si="7"/>
        <v>72.261962336783981</v>
      </c>
      <c r="Q7" s="13">
        <f t="shared" si="8"/>
        <v>39.315719359347064</v>
      </c>
      <c r="R7" s="13">
        <f t="shared" si="9"/>
        <v>0</v>
      </c>
      <c r="S7" s="13">
        <f t="shared" si="10"/>
        <v>0</v>
      </c>
      <c r="T7" s="13">
        <f t="shared" si="11"/>
        <v>295.15786756262145</v>
      </c>
      <c r="U7" s="13">
        <f t="shared" si="12"/>
        <v>503.5801048706694</v>
      </c>
      <c r="V7" s="13">
        <f t="shared" si="13"/>
        <v>68.648864219944784</v>
      </c>
    </row>
    <row r="8" spans="1:22" x14ac:dyDescent="0.2">
      <c r="A8" s="20"/>
      <c r="B8" s="153" t="s">
        <v>417</v>
      </c>
      <c r="C8" s="13">
        <f>Pay!C58</f>
        <v>0</v>
      </c>
      <c r="D8" s="5">
        <v>0</v>
      </c>
      <c r="E8" s="5">
        <v>0</v>
      </c>
      <c r="F8" s="13">
        <f>Pay!D58</f>
        <v>86.851881230638298</v>
      </c>
      <c r="G8" s="13">
        <f>Pay!E58</f>
        <v>148.87704400176742</v>
      </c>
      <c r="H8" s="13">
        <f>Pay!F58</f>
        <v>21.310270500220927</v>
      </c>
      <c r="J8" s="13">
        <f t="shared" si="2"/>
        <v>0</v>
      </c>
      <c r="K8" s="13">
        <f t="shared" si="3"/>
        <v>0</v>
      </c>
      <c r="L8" s="13">
        <f t="shared" si="4"/>
        <v>0</v>
      </c>
      <c r="M8" s="13">
        <f t="shared" si="5"/>
        <v>193.00418051252956</v>
      </c>
      <c r="N8" s="13">
        <f t="shared" si="6"/>
        <v>330.83787555948317</v>
      </c>
      <c r="O8" s="13">
        <f t="shared" si="7"/>
        <v>47.356156667157613</v>
      </c>
      <c r="Q8" s="13">
        <f t="shared" si="8"/>
        <v>0</v>
      </c>
      <c r="R8" s="13">
        <f t="shared" si="9"/>
        <v>0</v>
      </c>
      <c r="S8" s="13">
        <f t="shared" si="10"/>
        <v>0</v>
      </c>
      <c r="T8" s="13">
        <f t="shared" si="11"/>
        <v>183.35397148690308</v>
      </c>
      <c r="U8" s="13">
        <f t="shared" si="12"/>
        <v>314.295981781509</v>
      </c>
      <c r="V8" s="13">
        <f t="shared" si="13"/>
        <v>44.988348833799733</v>
      </c>
    </row>
    <row r="9" spans="1:22" ht="16" thickBot="1" x14ac:dyDescent="0.25">
      <c r="A9" s="107"/>
      <c r="B9" s="154" t="s">
        <v>418</v>
      </c>
      <c r="C9" s="86">
        <f>Pay!C59</f>
        <v>0</v>
      </c>
      <c r="D9" s="100">
        <v>0</v>
      </c>
      <c r="E9" s="100">
        <v>0</v>
      </c>
      <c r="F9" s="86">
        <f>Pay!D59</f>
        <v>115.18762147703123</v>
      </c>
      <c r="G9" s="86">
        <f>Pay!E59</f>
        <v>195.44594441242236</v>
      </c>
      <c r="H9" s="86">
        <f>Pay!F59</f>
        <v>27.131383051552795</v>
      </c>
      <c r="J9" s="13">
        <f t="shared" si="2"/>
        <v>0</v>
      </c>
      <c r="K9" s="13">
        <f t="shared" si="3"/>
        <v>0</v>
      </c>
      <c r="L9" s="13">
        <f t="shared" si="4"/>
        <v>0</v>
      </c>
      <c r="M9" s="13">
        <f t="shared" si="5"/>
        <v>255.97249217118051</v>
      </c>
      <c r="N9" s="13">
        <f t="shared" si="6"/>
        <v>434.32432091649412</v>
      </c>
      <c r="O9" s="13">
        <f t="shared" si="7"/>
        <v>60.291962336783989</v>
      </c>
      <c r="Q9" s="13">
        <f t="shared" si="8"/>
        <v>0</v>
      </c>
      <c r="R9" s="13">
        <f t="shared" si="9"/>
        <v>0</v>
      </c>
      <c r="S9" s="13">
        <f t="shared" si="10"/>
        <v>0</v>
      </c>
      <c r="T9" s="13">
        <f t="shared" si="11"/>
        <v>243.17386756262147</v>
      </c>
      <c r="U9" s="13">
        <f t="shared" si="12"/>
        <v>412.60810487066937</v>
      </c>
      <c r="V9" s="13">
        <f t="shared" si="13"/>
        <v>57.277364219944786</v>
      </c>
    </row>
    <row r="10" spans="1:22" ht="16" thickTop="1" x14ac:dyDescent="0.2">
      <c r="A10" s="20" t="s">
        <v>400</v>
      </c>
      <c r="B10" s="153" t="s">
        <v>419</v>
      </c>
      <c r="C10" s="5">
        <f>'Pastel Fresas Con Crema'!D12</f>
        <v>0</v>
      </c>
      <c r="D10" s="5">
        <f>'Pastel Fresas Con Crema'!E12</f>
        <v>77.965623374933188</v>
      </c>
      <c r="E10" s="5">
        <f>'Pastel Fresas Con Crema'!F12</f>
        <v>149.61920204563998</v>
      </c>
      <c r="F10" s="5">
        <f>'Pastel Fresas Con Crema'!G12</f>
        <v>210.11334875667566</v>
      </c>
      <c r="G10" s="5">
        <f>'Pastel Fresas Con Crema'!H12</f>
        <v>338.61711103856743</v>
      </c>
      <c r="H10" s="5">
        <f>'Pastel Fresas Con Crema'!C12</f>
        <v>23.818474875667565</v>
      </c>
      <c r="J10" s="13">
        <f t="shared" si="2"/>
        <v>0</v>
      </c>
      <c r="K10" s="13">
        <f t="shared" si="3"/>
        <v>173.25694083318487</v>
      </c>
      <c r="L10" s="13">
        <f t="shared" si="4"/>
        <v>332.48711565697772</v>
      </c>
      <c r="M10" s="13">
        <f t="shared" si="5"/>
        <v>466.91855279261256</v>
      </c>
      <c r="N10" s="13">
        <f t="shared" si="6"/>
        <v>752.48246897459433</v>
      </c>
      <c r="O10" s="13">
        <f t="shared" si="7"/>
        <v>52.929944168150143</v>
      </c>
      <c r="Q10" s="13">
        <f t="shared" si="8"/>
        <v>0</v>
      </c>
      <c r="R10" s="13">
        <f t="shared" si="9"/>
        <v>164.59409379152561</v>
      </c>
      <c r="S10" s="13">
        <f t="shared" si="10"/>
        <v>315.86275987412881</v>
      </c>
      <c r="T10" s="13">
        <f t="shared" si="11"/>
        <v>443.57262515298191</v>
      </c>
      <c r="U10" s="13">
        <f t="shared" si="12"/>
        <v>714.85834552586459</v>
      </c>
      <c r="V10" s="13">
        <f t="shared" si="13"/>
        <v>50.283446959742633</v>
      </c>
    </row>
    <row r="11" spans="1:22" x14ac:dyDescent="0.2">
      <c r="B11" s="153" t="s">
        <v>420</v>
      </c>
      <c r="C11" s="5">
        <v>0</v>
      </c>
      <c r="D11" s="5">
        <f>'Pastel 3 Pecados'!E18</f>
        <v>64.125646074693776</v>
      </c>
      <c r="E11" s="5">
        <f>'Pastel 3 Pecados'!F18</f>
        <v>163.26597082490252</v>
      </c>
      <c r="F11" s="5">
        <f>'Pastel 3 Pecados'!G18</f>
        <v>234.88561968375589</v>
      </c>
      <c r="G11" s="5">
        <f>'Pastel 3 Pecados'!H18</f>
        <v>350.57494438357611</v>
      </c>
      <c r="H11" s="5">
        <f>'Pastel 3 Pecados'!C18</f>
        <v>26.295701968375589</v>
      </c>
      <c r="J11" s="13">
        <f t="shared" si="2"/>
        <v>0</v>
      </c>
      <c r="K11" s="13">
        <f t="shared" si="3"/>
        <v>142.50143572154172</v>
      </c>
      <c r="L11" s="13">
        <f t="shared" si="4"/>
        <v>362.81326849978336</v>
      </c>
      <c r="M11" s="13">
        <f t="shared" si="5"/>
        <v>521.96804374167971</v>
      </c>
      <c r="N11" s="13">
        <f t="shared" si="6"/>
        <v>779.05543196350243</v>
      </c>
      <c r="O11" s="13">
        <f t="shared" si="7"/>
        <v>58.434893263056864</v>
      </c>
      <c r="Q11" s="13">
        <f t="shared" si="8"/>
        <v>0</v>
      </c>
      <c r="R11" s="13">
        <f t="shared" si="9"/>
        <v>135.37636393546464</v>
      </c>
      <c r="S11" s="13">
        <f t="shared" si="10"/>
        <v>344.67260507479421</v>
      </c>
      <c r="T11" s="13">
        <f t="shared" si="11"/>
        <v>495.86964155459572</v>
      </c>
      <c r="U11" s="13">
        <f t="shared" si="12"/>
        <v>740.10266036532732</v>
      </c>
      <c r="V11" s="13">
        <f t="shared" si="13"/>
        <v>55.513148599904021</v>
      </c>
    </row>
    <row r="12" spans="1:22" x14ac:dyDescent="0.2">
      <c r="B12" s="153" t="s">
        <v>180</v>
      </c>
      <c r="C12" s="5">
        <v>0</v>
      </c>
      <c r="D12" s="5">
        <v>0</v>
      </c>
      <c r="E12" s="5">
        <f>'Pastel Zanahoria'!F12</f>
        <v>151.95678580439059</v>
      </c>
      <c r="F12" s="5">
        <f>'Pastel Zanahoria'!G12</f>
        <v>207.49008460687799</v>
      </c>
      <c r="G12" s="5">
        <f>'Pastel Zanahoria'!H12</f>
        <v>317.43002436145383</v>
      </c>
      <c r="H12" s="5">
        <f>'Pastel Zanahoria'!C12</f>
        <v>23.556148460687798</v>
      </c>
      <c r="J12" s="13">
        <f t="shared" si="2"/>
        <v>0</v>
      </c>
      <c r="K12" s="13">
        <f t="shared" si="3"/>
        <v>0</v>
      </c>
      <c r="L12" s="13">
        <f t="shared" si="4"/>
        <v>337.6817462319791</v>
      </c>
      <c r="M12" s="13">
        <f t="shared" si="5"/>
        <v>461.08907690417328</v>
      </c>
      <c r="N12" s="13">
        <f t="shared" si="6"/>
        <v>705.40005413656411</v>
      </c>
      <c r="O12" s="13">
        <f t="shared" si="7"/>
        <v>52.346996579306214</v>
      </c>
      <c r="Q12" s="13">
        <f t="shared" si="8"/>
        <v>0</v>
      </c>
      <c r="R12" s="13">
        <f t="shared" si="9"/>
        <v>0</v>
      </c>
      <c r="S12" s="13">
        <f t="shared" si="10"/>
        <v>320.79765892038012</v>
      </c>
      <c r="T12" s="13">
        <f t="shared" si="11"/>
        <v>438.0346230589646</v>
      </c>
      <c r="U12" s="13">
        <f t="shared" si="12"/>
        <v>670.13005142973589</v>
      </c>
      <c r="V12" s="13">
        <f t="shared" si="13"/>
        <v>49.729646750340905</v>
      </c>
    </row>
    <row r="13" spans="1:22" x14ac:dyDescent="0.2">
      <c r="B13" s="153" t="s">
        <v>421</v>
      </c>
      <c r="C13" s="5">
        <v>0</v>
      </c>
      <c r="D13" s="5">
        <f>'Pastel Chocolate'!E12</f>
        <v>59.756374319030144</v>
      </c>
      <c r="E13" s="5">
        <v>0</v>
      </c>
      <c r="F13" s="5">
        <v>0</v>
      </c>
      <c r="G13" s="5">
        <v>0</v>
      </c>
      <c r="H13" s="5">
        <v>0</v>
      </c>
      <c r="J13" s="13">
        <f t="shared" si="2"/>
        <v>0</v>
      </c>
      <c r="K13" s="13">
        <f t="shared" si="3"/>
        <v>132.79194293117808</v>
      </c>
      <c r="L13" s="13">
        <f t="shared" si="4"/>
        <v>0</v>
      </c>
      <c r="M13" s="13">
        <f t="shared" si="5"/>
        <v>0</v>
      </c>
      <c r="N13" s="13">
        <f t="shared" si="6"/>
        <v>0</v>
      </c>
      <c r="O13" s="13">
        <f t="shared" si="7"/>
        <v>0</v>
      </c>
      <c r="Q13" s="13">
        <f t="shared" si="8"/>
        <v>0</v>
      </c>
      <c r="R13" s="13">
        <f t="shared" si="9"/>
        <v>126.15234578461917</v>
      </c>
      <c r="S13" s="13">
        <f t="shared" si="10"/>
        <v>0</v>
      </c>
      <c r="T13" s="13">
        <f t="shared" si="11"/>
        <v>0</v>
      </c>
      <c r="U13" s="13">
        <f t="shared" si="12"/>
        <v>0</v>
      </c>
      <c r="V13" s="13">
        <f t="shared" si="13"/>
        <v>0</v>
      </c>
    </row>
    <row r="14" spans="1:22" x14ac:dyDescent="0.2">
      <c r="B14" s="153" t="s">
        <v>422</v>
      </c>
      <c r="C14" s="5">
        <v>0</v>
      </c>
      <c r="D14" s="5">
        <f>'Pastel Crunch'!E14</f>
        <v>80.227256064779255</v>
      </c>
      <c r="E14" s="5">
        <f>'Pastel Crunch'!F14</f>
        <v>166.48930193323253</v>
      </c>
      <c r="F14" s="5">
        <f>'Pastel Crunch'!G14</f>
        <v>242.04423851217277</v>
      </c>
      <c r="G14" s="5">
        <f>'Pastel Crunch'!H14</f>
        <v>338.62657154815975</v>
      </c>
      <c r="H14" s="5">
        <f>'Pastel Crunch'!C14</f>
        <v>27.011563851217279</v>
      </c>
      <c r="J14" s="13">
        <f t="shared" si="2"/>
        <v>0</v>
      </c>
      <c r="K14" s="13">
        <f t="shared" si="3"/>
        <v>178.28279125506501</v>
      </c>
      <c r="L14" s="13">
        <f t="shared" si="4"/>
        <v>369.97622651829448</v>
      </c>
      <c r="M14" s="13">
        <f t="shared" si="5"/>
        <v>537.87608558260615</v>
      </c>
      <c r="N14" s="13">
        <f t="shared" si="6"/>
        <v>752.50349232924384</v>
      </c>
      <c r="O14" s="13">
        <f t="shared" si="7"/>
        <v>60.025697447149504</v>
      </c>
      <c r="Q14" s="13">
        <f t="shared" si="8"/>
        <v>0</v>
      </c>
      <c r="R14" s="13">
        <f t="shared" si="9"/>
        <v>169.36865169231174</v>
      </c>
      <c r="S14" s="13">
        <f t="shared" si="10"/>
        <v>351.47741519237974</v>
      </c>
      <c r="T14" s="13">
        <f t="shared" si="11"/>
        <v>510.98228130347582</v>
      </c>
      <c r="U14" s="13">
        <f t="shared" si="12"/>
        <v>714.87831771278161</v>
      </c>
      <c r="V14" s="13">
        <f t="shared" si="13"/>
        <v>57.024412574792024</v>
      </c>
    </row>
    <row r="15" spans="1:22" x14ac:dyDescent="0.2">
      <c r="B15" s="153" t="s">
        <v>423</v>
      </c>
      <c r="C15" s="5">
        <v>0</v>
      </c>
      <c r="D15" s="5">
        <f>'Pastel Snicker''s'!E14</f>
        <v>33.131040509070317</v>
      </c>
      <c r="E15" s="5">
        <f>'Pastel Snicker''s'!F14</f>
        <v>201.96184294061075</v>
      </c>
      <c r="F15" s="5">
        <f>'Pastel Snicker''s'!G14</f>
        <v>281.62808692026692</v>
      </c>
      <c r="G15" s="5">
        <f>'Pastel Snicker''s'!H14</f>
        <v>392.15336417384646</v>
      </c>
      <c r="H15" s="5">
        <f>'Pastel Snicker''s'!C14</f>
        <v>30.969948692026694</v>
      </c>
      <c r="J15" s="13">
        <f t="shared" si="2"/>
        <v>0</v>
      </c>
      <c r="K15" s="13">
        <f t="shared" si="3"/>
        <v>73.6245344646007</v>
      </c>
      <c r="L15" s="13">
        <f t="shared" si="4"/>
        <v>448.80409542357944</v>
      </c>
      <c r="M15" s="13">
        <f t="shared" si="5"/>
        <v>625.84019315614876</v>
      </c>
      <c r="N15" s="13">
        <f t="shared" si="6"/>
        <v>871.45192038632547</v>
      </c>
      <c r="O15" s="13">
        <f t="shared" si="7"/>
        <v>68.822108204503763</v>
      </c>
      <c r="Q15" s="13">
        <f t="shared" si="8"/>
        <v>0</v>
      </c>
      <c r="R15" s="13">
        <f t="shared" si="9"/>
        <v>69.94330774137066</v>
      </c>
      <c r="S15" s="13">
        <f t="shared" si="10"/>
        <v>426.36389065240047</v>
      </c>
      <c r="T15" s="13">
        <f t="shared" si="11"/>
        <v>594.54818349834125</v>
      </c>
      <c r="U15" s="13">
        <f t="shared" si="12"/>
        <v>827.87932436700919</v>
      </c>
      <c r="V15" s="13">
        <f t="shared" si="13"/>
        <v>65.381002794278572</v>
      </c>
    </row>
    <row r="16" spans="1:22" x14ac:dyDescent="0.2">
      <c r="B16" s="153" t="s">
        <v>188</v>
      </c>
      <c r="C16" s="5">
        <v>0</v>
      </c>
      <c r="D16" s="5">
        <f>'Pastel Vainilla'!E12</f>
        <v>0</v>
      </c>
      <c r="E16" s="5">
        <f>'Pastel Vainilla'!F12</f>
        <v>146.85589945825851</v>
      </c>
      <c r="F16" s="5">
        <f>'Pastel Vainilla'!G12</f>
        <v>205.71167553175775</v>
      </c>
      <c r="G16" s="5">
        <f>'Pastel Vainilla'!H12</f>
        <v>330.05251031426832</v>
      </c>
      <c r="H16" s="5">
        <f>'Pastel Vainilla'!C12</f>
        <v>17.49272994582585</v>
      </c>
      <c r="J16" s="13">
        <f t="shared" si="2"/>
        <v>0</v>
      </c>
      <c r="K16" s="13">
        <f t="shared" si="3"/>
        <v>0</v>
      </c>
      <c r="L16" s="13">
        <f t="shared" si="4"/>
        <v>326.34644324057444</v>
      </c>
      <c r="M16" s="13">
        <f t="shared" si="5"/>
        <v>457.13705673723945</v>
      </c>
      <c r="N16" s="13">
        <f t="shared" si="6"/>
        <v>733.45002292059621</v>
      </c>
      <c r="O16" s="13">
        <f t="shared" si="7"/>
        <v>38.872733212946336</v>
      </c>
      <c r="Q16" s="13">
        <f t="shared" si="8"/>
        <v>0</v>
      </c>
      <c r="R16" s="13">
        <f t="shared" si="9"/>
        <v>0</v>
      </c>
      <c r="S16" s="13">
        <f t="shared" si="10"/>
        <v>310.0291210785457</v>
      </c>
      <c r="T16" s="13">
        <f t="shared" si="11"/>
        <v>434.28020390037744</v>
      </c>
      <c r="U16" s="13">
        <f t="shared" si="12"/>
        <v>696.77752177456637</v>
      </c>
      <c r="V16" s="13">
        <f t="shared" si="13"/>
        <v>36.929096552299015</v>
      </c>
    </row>
    <row r="17" spans="1:22" x14ac:dyDescent="0.2">
      <c r="B17" s="153" t="s">
        <v>403</v>
      </c>
      <c r="C17" s="5">
        <v>0</v>
      </c>
      <c r="D17" s="5">
        <v>0</v>
      </c>
      <c r="E17" s="5">
        <v>0</v>
      </c>
      <c r="F17" s="5">
        <f>'Pastel 3 Leches'!D13</f>
        <v>176.71614862042193</v>
      </c>
      <c r="G17" s="5">
        <f>'Pastel 3 Leches'!E13</f>
        <v>401.53172146155487</v>
      </c>
      <c r="H17" s="5">
        <f>'Pastel 3 Leches'!C13</f>
        <v>32.259831436736988</v>
      </c>
      <c r="J17" s="13">
        <f t="shared" si="2"/>
        <v>0</v>
      </c>
      <c r="K17" s="13">
        <f t="shared" si="3"/>
        <v>0</v>
      </c>
      <c r="L17" s="13">
        <f t="shared" si="4"/>
        <v>0</v>
      </c>
      <c r="M17" s="13">
        <f t="shared" si="5"/>
        <v>392.70255248982653</v>
      </c>
      <c r="N17" s="13">
        <f t="shared" si="6"/>
        <v>892.2927143590108</v>
      </c>
      <c r="O17" s="13">
        <f t="shared" si="7"/>
        <v>71.688514303859975</v>
      </c>
      <c r="Q17" s="13">
        <f t="shared" si="8"/>
        <v>0</v>
      </c>
      <c r="R17" s="13">
        <f t="shared" si="9"/>
        <v>0</v>
      </c>
      <c r="S17" s="13">
        <f t="shared" si="10"/>
        <v>0</v>
      </c>
      <c r="T17" s="13">
        <f t="shared" si="11"/>
        <v>373.06742486533517</v>
      </c>
      <c r="U17" s="13">
        <f t="shared" si="12"/>
        <v>847.67807864106021</v>
      </c>
      <c r="V17" s="13">
        <f t="shared" si="13"/>
        <v>68.104088588666968</v>
      </c>
    </row>
    <row r="18" spans="1:22" x14ac:dyDescent="0.2">
      <c r="B18" s="153" t="s">
        <v>424</v>
      </c>
      <c r="C18" s="5">
        <f>'Pastel 3 Leches Lotus'!F14</f>
        <v>41.388219918636409</v>
      </c>
      <c r="D18" s="5"/>
      <c r="E18" s="5"/>
      <c r="F18" s="5">
        <f>'Pastel 3 Leches Lotus'!D14</f>
        <v>188.12780582343345</v>
      </c>
      <c r="G18" s="5">
        <f>'Pastel 3 Leches Lotus'!E14</f>
        <v>504.65497069404626</v>
      </c>
      <c r="H18" s="5">
        <f>'Pastel 3 Leches Lotus'!C14</f>
        <v>34.161774303905574</v>
      </c>
      <c r="J18" s="13">
        <f t="shared" si="2"/>
        <v>91.973822041414238</v>
      </c>
      <c r="K18" s="13">
        <f t="shared" si="3"/>
        <v>0</v>
      </c>
      <c r="L18" s="13">
        <f t="shared" si="4"/>
        <v>0</v>
      </c>
      <c r="M18" s="13">
        <f t="shared" si="5"/>
        <v>418.06179071874101</v>
      </c>
      <c r="N18" s="13">
        <f t="shared" si="6"/>
        <v>1121.4554904312138</v>
      </c>
      <c r="O18" s="13">
        <f t="shared" si="7"/>
        <v>75.91505400867905</v>
      </c>
      <c r="Q18" s="13">
        <f t="shared" si="8"/>
        <v>87.375130939343521</v>
      </c>
      <c r="R18" s="13">
        <f t="shared" si="9"/>
        <v>0</v>
      </c>
      <c r="S18" s="13">
        <f t="shared" si="10"/>
        <v>0</v>
      </c>
      <c r="T18" s="13">
        <f t="shared" si="11"/>
        <v>397.15870118280395</v>
      </c>
      <c r="U18" s="13">
        <f t="shared" si="12"/>
        <v>1065.3827159096531</v>
      </c>
      <c r="V18" s="13">
        <f t="shared" si="13"/>
        <v>72.119301308245099</v>
      </c>
    </row>
    <row r="19" spans="1:22" ht="16" thickBot="1" x14ac:dyDescent="0.25">
      <c r="A19" s="98"/>
      <c r="B19" s="154" t="s">
        <v>425</v>
      </c>
      <c r="C19" s="86">
        <f>Flan!D9</f>
        <v>22.945849526384077</v>
      </c>
      <c r="D19" s="86">
        <v>0</v>
      </c>
      <c r="E19" s="86">
        <v>0</v>
      </c>
      <c r="F19" s="86">
        <f>Flan!G9</f>
        <v>241.70638507785463</v>
      </c>
      <c r="G19" s="86">
        <v>0</v>
      </c>
      <c r="H19" s="86">
        <f>Flan!I9</f>
        <v>0</v>
      </c>
      <c r="J19" s="13">
        <f t="shared" si="2"/>
        <v>50.990776725297948</v>
      </c>
      <c r="K19" s="13">
        <f t="shared" si="3"/>
        <v>0</v>
      </c>
      <c r="L19" s="13">
        <f t="shared" si="4"/>
        <v>0</v>
      </c>
      <c r="M19" s="13">
        <f t="shared" si="5"/>
        <v>537.12530017301026</v>
      </c>
      <c r="N19" s="13">
        <f t="shared" si="6"/>
        <v>0</v>
      </c>
      <c r="O19" s="13">
        <f t="shared" si="7"/>
        <v>0</v>
      </c>
      <c r="Q19" s="13">
        <f t="shared" si="8"/>
        <v>48.441237889033047</v>
      </c>
      <c r="R19" s="13">
        <f t="shared" si="9"/>
        <v>0</v>
      </c>
      <c r="S19" s="13">
        <f t="shared" si="10"/>
        <v>0</v>
      </c>
      <c r="T19" s="13">
        <f t="shared" si="11"/>
        <v>510.26903516435971</v>
      </c>
      <c r="U19" s="13">
        <f t="shared" si="12"/>
        <v>0</v>
      </c>
      <c r="V19" s="13">
        <f t="shared" si="13"/>
        <v>0</v>
      </c>
    </row>
    <row r="20" spans="1:22" ht="16" thickTop="1" x14ac:dyDescent="0.2">
      <c r="A20" s="20" t="s">
        <v>426</v>
      </c>
      <c r="B20" s="153" t="s">
        <v>427</v>
      </c>
      <c r="D20" s="13">
        <f>Vasos!D24</f>
        <v>17.018194862990953</v>
      </c>
      <c r="G20" s="13">
        <f>Vasos!C24</f>
        <v>32.405495132705255</v>
      </c>
      <c r="J20" s="13">
        <f t="shared" si="2"/>
        <v>0</v>
      </c>
      <c r="K20" s="13">
        <f t="shared" si="3"/>
        <v>37.818210806646562</v>
      </c>
      <c r="L20" s="13">
        <f t="shared" si="4"/>
        <v>0</v>
      </c>
      <c r="M20" s="13">
        <f t="shared" si="5"/>
        <v>0</v>
      </c>
      <c r="N20" s="13">
        <f t="shared" si="6"/>
        <v>72.012211406011673</v>
      </c>
      <c r="O20" s="13">
        <f t="shared" si="7"/>
        <v>0</v>
      </c>
      <c r="Q20" s="13">
        <f t="shared" si="8"/>
        <v>0</v>
      </c>
      <c r="R20" s="13">
        <f t="shared" si="9"/>
        <v>35.927300266314234</v>
      </c>
      <c r="S20" s="13">
        <f t="shared" si="10"/>
        <v>0</v>
      </c>
      <c r="T20" s="13">
        <f t="shared" si="11"/>
        <v>0</v>
      </c>
      <c r="U20" s="13">
        <f t="shared" si="12"/>
        <v>68.411600835711084</v>
      </c>
      <c r="V20" s="13">
        <f t="shared" si="13"/>
        <v>0</v>
      </c>
    </row>
    <row r="21" spans="1:22" x14ac:dyDescent="0.2">
      <c r="B21" s="153" t="s">
        <v>428</v>
      </c>
      <c r="D21" s="13">
        <f>Vasos!D25</f>
        <v>29.233566388767347</v>
      </c>
      <c r="G21" s="13">
        <f>Vasos!C25</f>
        <v>44.620866658481646</v>
      </c>
      <c r="J21" s="13">
        <f t="shared" si="2"/>
        <v>0</v>
      </c>
      <c r="K21" s="13">
        <f t="shared" si="3"/>
        <v>64.96348086392743</v>
      </c>
      <c r="L21" s="13">
        <f t="shared" si="4"/>
        <v>0</v>
      </c>
      <c r="M21" s="13">
        <f t="shared" si="5"/>
        <v>0</v>
      </c>
      <c r="N21" s="13">
        <f t="shared" si="6"/>
        <v>99.157481463292541</v>
      </c>
      <c r="O21" s="13">
        <f t="shared" si="7"/>
        <v>0</v>
      </c>
      <c r="Q21" s="13">
        <f t="shared" si="8"/>
        <v>0</v>
      </c>
      <c r="R21" s="13">
        <f t="shared" si="9"/>
        <v>61.715306820731058</v>
      </c>
      <c r="S21" s="13">
        <f t="shared" si="10"/>
        <v>0</v>
      </c>
      <c r="T21" s="13">
        <f t="shared" si="11"/>
        <v>0</v>
      </c>
      <c r="U21" s="13">
        <f t="shared" si="12"/>
        <v>94.199607390127909</v>
      </c>
      <c r="V21" s="13">
        <f t="shared" si="13"/>
        <v>0</v>
      </c>
    </row>
    <row r="22" spans="1:22" ht="16" thickBot="1" x14ac:dyDescent="0.25">
      <c r="A22" s="98"/>
      <c r="B22" s="154" t="s">
        <v>429</v>
      </c>
      <c r="C22" s="98"/>
      <c r="D22" s="86">
        <f>Vasos!D26</f>
        <v>9.8099053300280463</v>
      </c>
      <c r="E22" s="98"/>
      <c r="F22" s="98"/>
      <c r="G22" s="86">
        <f>Vasos!C26</f>
        <v>17.087879875159075</v>
      </c>
      <c r="H22" s="98"/>
      <c r="J22" s="13">
        <f t="shared" si="2"/>
        <v>0</v>
      </c>
      <c r="K22" s="13">
        <f t="shared" si="3"/>
        <v>21.799789622284546</v>
      </c>
      <c r="L22" s="13">
        <f t="shared" si="4"/>
        <v>0</v>
      </c>
      <c r="M22" s="13">
        <f t="shared" si="5"/>
        <v>0</v>
      </c>
      <c r="N22" s="13">
        <f t="shared" si="6"/>
        <v>37.973066389242391</v>
      </c>
      <c r="O22" s="13">
        <f t="shared" si="7"/>
        <v>0</v>
      </c>
      <c r="Q22" s="13">
        <f t="shared" si="8"/>
        <v>0</v>
      </c>
      <c r="R22" s="13">
        <f t="shared" si="9"/>
        <v>20.709800141170319</v>
      </c>
      <c r="S22" s="13">
        <f t="shared" si="10"/>
        <v>0</v>
      </c>
      <c r="T22" s="13">
        <f t="shared" si="11"/>
        <v>0</v>
      </c>
      <c r="U22" s="13">
        <f t="shared" si="12"/>
        <v>36.07441306978027</v>
      </c>
      <c r="V22" s="13">
        <f t="shared" si="13"/>
        <v>0</v>
      </c>
    </row>
    <row r="23" spans="1:22" ht="16" thickTop="1" x14ac:dyDescent="0.2">
      <c r="A23" s="20" t="s">
        <v>374</v>
      </c>
      <c r="B23" s="153" t="s">
        <v>421</v>
      </c>
      <c r="C23" s="5">
        <f>Bollos!D14</f>
        <v>14.435269071148177</v>
      </c>
      <c r="D23" s="5">
        <f>'Pastel Fresas Con Crema'!E24</f>
        <v>0</v>
      </c>
      <c r="E23" s="5">
        <f>'Pastel Fresas Con Crema'!F24</f>
        <v>0</v>
      </c>
      <c r="F23" s="5">
        <f>'Pastel Fresas Con Crema'!G24</f>
        <v>0</v>
      </c>
      <c r="G23" s="5">
        <f>'Pastel Fresas Con Crema'!H24</f>
        <v>0</v>
      </c>
      <c r="H23" s="5">
        <f>'Pastel Fresas Con Crema'!C24</f>
        <v>0</v>
      </c>
      <c r="J23" s="13">
        <f t="shared" si="2"/>
        <v>32.078375713662616</v>
      </c>
      <c r="K23" s="13">
        <f t="shared" si="3"/>
        <v>0</v>
      </c>
      <c r="L23" s="13">
        <f t="shared" si="4"/>
        <v>0</v>
      </c>
      <c r="M23" s="13">
        <f t="shared" si="5"/>
        <v>0</v>
      </c>
      <c r="N23" s="13">
        <f t="shared" si="6"/>
        <v>0</v>
      </c>
      <c r="O23" s="13">
        <f t="shared" si="7"/>
        <v>0</v>
      </c>
      <c r="Q23" s="13">
        <f t="shared" si="8"/>
        <v>30.474456927979485</v>
      </c>
      <c r="R23" s="13">
        <f t="shared" si="9"/>
        <v>0</v>
      </c>
      <c r="S23" s="13">
        <f t="shared" si="10"/>
        <v>0</v>
      </c>
      <c r="T23" s="13">
        <f t="shared" si="11"/>
        <v>0</v>
      </c>
      <c r="U23" s="13">
        <f t="shared" si="12"/>
        <v>0</v>
      </c>
      <c r="V23" s="13">
        <f t="shared" si="13"/>
        <v>0</v>
      </c>
    </row>
    <row r="24" spans="1:22" x14ac:dyDescent="0.2">
      <c r="B24" s="153" t="s">
        <v>183</v>
      </c>
      <c r="C24" s="5">
        <f>Bollos!C14</f>
        <v>12.485674791346026</v>
      </c>
      <c r="D24" s="5"/>
      <c r="E24" s="5"/>
      <c r="F24" s="5"/>
      <c r="G24" s="5"/>
      <c r="H24" s="5"/>
      <c r="J24" s="13">
        <f t="shared" si="2"/>
        <v>27.745943980768946</v>
      </c>
      <c r="K24" s="13">
        <f t="shared" si="3"/>
        <v>0</v>
      </c>
      <c r="L24" s="13">
        <f t="shared" si="4"/>
        <v>0</v>
      </c>
      <c r="M24" s="13">
        <f t="shared" si="5"/>
        <v>0</v>
      </c>
      <c r="N24" s="13">
        <f t="shared" si="6"/>
        <v>0</v>
      </c>
      <c r="O24" s="13">
        <f t="shared" si="7"/>
        <v>0</v>
      </c>
      <c r="Q24" s="13">
        <f t="shared" si="8"/>
        <v>26.358646781730496</v>
      </c>
      <c r="R24" s="13">
        <f t="shared" si="9"/>
        <v>0</v>
      </c>
      <c r="S24" s="13">
        <f t="shared" si="10"/>
        <v>0</v>
      </c>
      <c r="T24" s="13">
        <f t="shared" si="11"/>
        <v>0</v>
      </c>
      <c r="U24" s="13">
        <f t="shared" si="12"/>
        <v>0</v>
      </c>
      <c r="V24" s="13">
        <f t="shared" si="13"/>
        <v>0</v>
      </c>
    </row>
    <row r="25" spans="1:22" x14ac:dyDescent="0.2">
      <c r="B25" s="153" t="s">
        <v>180</v>
      </c>
      <c r="C25" s="5">
        <f>Bollos!F14</f>
        <v>12.928453259392407</v>
      </c>
      <c r="D25" s="5">
        <v>0</v>
      </c>
      <c r="E25" s="5">
        <f>'Pastel Zanahoria'!F21</f>
        <v>0</v>
      </c>
      <c r="F25" s="5">
        <f>'Pastel Zanahoria'!G21</f>
        <v>0</v>
      </c>
      <c r="G25" s="5">
        <f>'Pastel Zanahoria'!H21</f>
        <v>0</v>
      </c>
      <c r="H25" s="5">
        <f>'Pastel Zanahoria'!C21</f>
        <v>0</v>
      </c>
      <c r="J25" s="13">
        <f t="shared" si="2"/>
        <v>28.729896131983125</v>
      </c>
      <c r="K25" s="13">
        <f t="shared" si="3"/>
        <v>0</v>
      </c>
      <c r="L25" s="13">
        <f t="shared" si="4"/>
        <v>0</v>
      </c>
      <c r="M25" s="13">
        <f t="shared" si="5"/>
        <v>0</v>
      </c>
      <c r="N25" s="13">
        <f t="shared" si="6"/>
        <v>0</v>
      </c>
      <c r="O25" s="13">
        <f t="shared" si="7"/>
        <v>0</v>
      </c>
      <c r="Q25" s="13">
        <f t="shared" si="8"/>
        <v>27.293401325383968</v>
      </c>
      <c r="R25" s="13">
        <f t="shared" si="9"/>
        <v>0</v>
      </c>
      <c r="S25" s="13">
        <f t="shared" si="10"/>
        <v>0</v>
      </c>
      <c r="T25" s="13">
        <f t="shared" si="11"/>
        <v>0</v>
      </c>
      <c r="U25" s="13">
        <f t="shared" si="12"/>
        <v>0</v>
      </c>
      <c r="V25" s="13">
        <f t="shared" si="13"/>
        <v>0</v>
      </c>
    </row>
    <row r="26" spans="1:22" x14ac:dyDescent="0.2">
      <c r="B26" s="153" t="s">
        <v>430</v>
      </c>
      <c r="C26" s="5">
        <f>Bollos!E14</f>
        <v>13.970432842663369</v>
      </c>
      <c r="D26" s="5">
        <f>'Pastel Chocolate'!E24</f>
        <v>0</v>
      </c>
      <c r="E26" s="5">
        <f>'Pastel Chocolate'!F24</f>
        <v>0</v>
      </c>
      <c r="F26" s="5">
        <f>'Pastel Chocolate'!G24</f>
        <v>0</v>
      </c>
      <c r="G26" s="5">
        <f>'Pastel Chocolate'!H24</f>
        <v>0</v>
      </c>
      <c r="H26" s="5">
        <f>'Pastel Chocolate'!C24</f>
        <v>0</v>
      </c>
      <c r="J26" s="13">
        <f t="shared" si="2"/>
        <v>31.045406317029709</v>
      </c>
      <c r="K26" s="13">
        <f t="shared" si="3"/>
        <v>0</v>
      </c>
      <c r="L26" s="13">
        <f t="shared" si="4"/>
        <v>0</v>
      </c>
      <c r="M26" s="13">
        <f t="shared" si="5"/>
        <v>0</v>
      </c>
      <c r="N26" s="13">
        <f t="shared" si="6"/>
        <v>0</v>
      </c>
      <c r="O26" s="13">
        <f t="shared" si="7"/>
        <v>0</v>
      </c>
      <c r="Q26" s="13">
        <f t="shared" si="8"/>
        <v>29.493136001178222</v>
      </c>
      <c r="R26" s="13">
        <f t="shared" si="9"/>
        <v>0</v>
      </c>
      <c r="S26" s="13">
        <f t="shared" si="10"/>
        <v>0</v>
      </c>
      <c r="T26" s="13">
        <f t="shared" si="11"/>
        <v>0</v>
      </c>
      <c r="U26" s="13">
        <f t="shared" si="12"/>
        <v>0</v>
      </c>
      <c r="V26" s="13">
        <f t="shared" si="13"/>
        <v>0</v>
      </c>
    </row>
    <row r="27" spans="1:22" ht="16" thickBot="1" x14ac:dyDescent="0.25">
      <c r="A27" s="98"/>
      <c r="B27" s="154" t="s">
        <v>431</v>
      </c>
      <c r="C27" s="100">
        <f>Bollos!G14</f>
        <v>20.155525330746912</v>
      </c>
      <c r="D27" s="100">
        <v>0</v>
      </c>
      <c r="E27" s="100">
        <v>0</v>
      </c>
      <c r="F27" s="100">
        <v>0</v>
      </c>
      <c r="G27" s="100">
        <v>0</v>
      </c>
      <c r="H27" s="100">
        <v>0</v>
      </c>
      <c r="J27" s="13">
        <f t="shared" si="2"/>
        <v>44.790056290548691</v>
      </c>
      <c r="K27" s="13">
        <f t="shared" si="3"/>
        <v>0</v>
      </c>
      <c r="L27" s="13">
        <f t="shared" si="4"/>
        <v>0</v>
      </c>
      <c r="M27" s="13">
        <f t="shared" si="5"/>
        <v>0</v>
      </c>
      <c r="N27" s="13">
        <f t="shared" si="6"/>
        <v>0</v>
      </c>
      <c r="O27" s="13">
        <f t="shared" si="7"/>
        <v>0</v>
      </c>
      <c r="Q27" s="13">
        <f t="shared" si="8"/>
        <v>42.550553476021257</v>
      </c>
      <c r="R27" s="13">
        <f t="shared" si="9"/>
        <v>0</v>
      </c>
      <c r="S27" s="13">
        <f t="shared" si="10"/>
        <v>0</v>
      </c>
      <c r="T27" s="13">
        <f t="shared" si="11"/>
        <v>0</v>
      </c>
      <c r="U27" s="13">
        <f t="shared" si="12"/>
        <v>0</v>
      </c>
      <c r="V27" s="13">
        <f t="shared" si="13"/>
        <v>0</v>
      </c>
    </row>
    <row r="28" spans="1:22" ht="16" thickTop="1" x14ac:dyDescent="0.2">
      <c r="A28" s="20" t="s">
        <v>432</v>
      </c>
      <c r="B28" s="153" t="s">
        <v>431</v>
      </c>
      <c r="C28" s="5">
        <f>Cheesecake!J29</f>
        <v>60.994829745107296</v>
      </c>
      <c r="D28" s="5">
        <v>0</v>
      </c>
      <c r="E28" s="5">
        <f>Cheesecake!G29</f>
        <v>205.30522584153161</v>
      </c>
      <c r="F28" s="5">
        <f>Cheesecake!D29</f>
        <v>319.64718955886985</v>
      </c>
      <c r="G28" s="5">
        <v>0</v>
      </c>
      <c r="H28" s="5">
        <f>'Pastel Fresas Con Crema'!C29</f>
        <v>0</v>
      </c>
      <c r="J28" s="13">
        <f t="shared" si="2"/>
        <v>135.54406610023844</v>
      </c>
      <c r="K28" s="13">
        <f t="shared" si="3"/>
        <v>0</v>
      </c>
      <c r="L28" s="13">
        <f t="shared" si="4"/>
        <v>456.23383520340354</v>
      </c>
      <c r="M28" s="13">
        <f t="shared" si="5"/>
        <v>710.32708790859965</v>
      </c>
      <c r="N28" s="13">
        <f t="shared" si="6"/>
        <v>0</v>
      </c>
      <c r="O28" s="13">
        <f t="shared" si="7"/>
        <v>0</v>
      </c>
      <c r="Q28" s="13">
        <f t="shared" si="8"/>
        <v>128.7668627952265</v>
      </c>
      <c r="R28" s="13">
        <f t="shared" si="9"/>
        <v>0</v>
      </c>
      <c r="S28" s="13">
        <f t="shared" si="10"/>
        <v>433.42214344323332</v>
      </c>
      <c r="T28" s="13">
        <f t="shared" si="11"/>
        <v>674.81073351316968</v>
      </c>
      <c r="U28" s="13">
        <f t="shared" si="12"/>
        <v>0</v>
      </c>
      <c r="V28" s="13">
        <f t="shared" si="13"/>
        <v>0</v>
      </c>
    </row>
    <row r="29" spans="1:22" x14ac:dyDescent="0.2">
      <c r="B29" s="153" t="s">
        <v>433</v>
      </c>
      <c r="C29" s="5">
        <f>Cheesecake!U29</f>
        <v>52.683416907688198</v>
      </c>
      <c r="D29" s="5">
        <f>'Pastel 3 Pecados'!E31</f>
        <v>0</v>
      </c>
      <c r="E29" s="5">
        <f>Cheesecake!R29</f>
        <v>182.33088219376373</v>
      </c>
      <c r="F29" s="5">
        <f>Cheesecake!O29</f>
        <v>254.16219228183817</v>
      </c>
      <c r="G29" s="5">
        <f>'Pastel 3 Pecados'!H31</f>
        <v>0</v>
      </c>
      <c r="H29" s="5">
        <f>'Pastel 3 Pecados'!C31</f>
        <v>0</v>
      </c>
      <c r="J29" s="13">
        <f t="shared" si="2"/>
        <v>117.07425979486266</v>
      </c>
      <c r="K29" s="13">
        <f t="shared" si="3"/>
        <v>0</v>
      </c>
      <c r="L29" s="13">
        <f t="shared" si="4"/>
        <v>405.1797382083638</v>
      </c>
      <c r="M29" s="13">
        <f t="shared" si="5"/>
        <v>564.80487173741813</v>
      </c>
      <c r="N29" s="13">
        <f t="shared" si="6"/>
        <v>0</v>
      </c>
      <c r="O29" s="13">
        <f t="shared" si="7"/>
        <v>0</v>
      </c>
      <c r="Q29" s="13">
        <f t="shared" si="8"/>
        <v>111.22054680511951</v>
      </c>
      <c r="R29" s="13">
        <f t="shared" si="9"/>
        <v>0</v>
      </c>
      <c r="S29" s="13">
        <f t="shared" si="10"/>
        <v>384.92075129794557</v>
      </c>
      <c r="T29" s="13">
        <f t="shared" si="11"/>
        <v>536.56462815054715</v>
      </c>
      <c r="U29" s="13">
        <f t="shared" si="12"/>
        <v>0</v>
      </c>
      <c r="V29" s="13">
        <f t="shared" si="13"/>
        <v>0</v>
      </c>
    </row>
    <row r="30" spans="1:22" x14ac:dyDescent="0.2">
      <c r="B30" s="153" t="s">
        <v>396</v>
      </c>
      <c r="C30" s="5">
        <f>Cheesecake!AF29</f>
        <v>45.518018475400901</v>
      </c>
      <c r="D30" s="5">
        <v>0</v>
      </c>
      <c r="E30" s="5">
        <f>Cheesecake!AC29</f>
        <v>179.67514570687243</v>
      </c>
      <c r="F30" s="5">
        <f>Cheesecake!Z29</f>
        <v>250.29930284635986</v>
      </c>
      <c r="G30" s="5">
        <v>0</v>
      </c>
      <c r="H30" s="5">
        <v>0</v>
      </c>
      <c r="J30" s="13">
        <f t="shared" si="2"/>
        <v>101.15115216755756</v>
      </c>
      <c r="K30" s="13">
        <f t="shared" si="3"/>
        <v>0</v>
      </c>
      <c r="L30" s="13">
        <f t="shared" si="4"/>
        <v>399.27810157082763</v>
      </c>
      <c r="M30" s="13">
        <f t="shared" si="5"/>
        <v>556.22067299191076</v>
      </c>
      <c r="N30" s="13">
        <f t="shared" si="6"/>
        <v>0</v>
      </c>
      <c r="O30" s="13">
        <f t="shared" si="7"/>
        <v>0</v>
      </c>
      <c r="Q30" s="13">
        <f t="shared" si="8"/>
        <v>96.093594559179678</v>
      </c>
      <c r="R30" s="13">
        <f t="shared" si="9"/>
        <v>0</v>
      </c>
      <c r="S30" s="13">
        <f t="shared" si="10"/>
        <v>379.31419649228621</v>
      </c>
      <c r="T30" s="13">
        <f t="shared" si="11"/>
        <v>528.40963934231524</v>
      </c>
      <c r="U30" s="13">
        <f t="shared" si="12"/>
        <v>0</v>
      </c>
      <c r="V30" s="13">
        <f t="shared" si="13"/>
        <v>0</v>
      </c>
    </row>
    <row r="31" spans="1:22" x14ac:dyDescent="0.2">
      <c r="B31" s="124" t="s">
        <v>635</v>
      </c>
      <c r="C31" s="5">
        <f>Cheesecake!AQ29</f>
        <v>52.866543095633389</v>
      </c>
      <c r="D31" s="5">
        <v>0</v>
      </c>
      <c r="E31" s="5">
        <f>Cheesecake!AN29</f>
        <v>198.97726486423255</v>
      </c>
      <c r="F31" s="5">
        <f>Cheesecake!AK29</f>
        <v>286.31469729634881</v>
      </c>
      <c r="G31" s="5">
        <v>0</v>
      </c>
      <c r="H31" s="5">
        <v>0</v>
      </c>
      <c r="J31" s="13">
        <f t="shared" si="2"/>
        <v>117.48120687918531</v>
      </c>
      <c r="K31" s="13">
        <f t="shared" si="3"/>
        <v>0</v>
      </c>
      <c r="L31" s="13">
        <f t="shared" si="4"/>
        <v>442.17169969829456</v>
      </c>
      <c r="M31" s="13">
        <f t="shared" si="5"/>
        <v>636.25488288077509</v>
      </c>
      <c r="N31" s="13">
        <f t="shared" si="6"/>
        <v>0</v>
      </c>
      <c r="O31" s="13">
        <f t="shared" si="7"/>
        <v>0</v>
      </c>
      <c r="Q31" s="13">
        <f t="shared" si="8"/>
        <v>111.60714653522604</v>
      </c>
      <c r="R31" s="13">
        <f t="shared" si="9"/>
        <v>0</v>
      </c>
      <c r="S31" s="13">
        <f t="shared" si="10"/>
        <v>420.06311471337983</v>
      </c>
      <c r="T31" s="13">
        <f t="shared" si="11"/>
        <v>604.4421387367363</v>
      </c>
      <c r="U31" s="13">
        <f t="shared" si="12"/>
        <v>0</v>
      </c>
      <c r="V31" s="13">
        <f t="shared" si="13"/>
        <v>0</v>
      </c>
    </row>
    <row r="32" spans="1:22" x14ac:dyDescent="0.2">
      <c r="B32" s="124" t="s">
        <v>180</v>
      </c>
      <c r="C32" s="5">
        <v>0</v>
      </c>
      <c r="D32" s="5">
        <v>0</v>
      </c>
      <c r="E32" s="5">
        <v>0</v>
      </c>
      <c r="F32" s="5">
        <v>0</v>
      </c>
      <c r="G32" s="5">
        <v>0</v>
      </c>
      <c r="H32" s="5">
        <v>0</v>
      </c>
      <c r="J32" s="13">
        <f t="shared" si="2"/>
        <v>0</v>
      </c>
      <c r="K32" s="13">
        <f t="shared" si="3"/>
        <v>0</v>
      </c>
      <c r="L32" s="13">
        <f t="shared" si="4"/>
        <v>0</v>
      </c>
      <c r="M32" s="13">
        <f t="shared" si="5"/>
        <v>0</v>
      </c>
      <c r="N32" s="13">
        <f t="shared" si="6"/>
        <v>0</v>
      </c>
      <c r="O32" s="13">
        <f t="shared" si="7"/>
        <v>0</v>
      </c>
      <c r="Q32" s="13">
        <f t="shared" si="8"/>
        <v>0</v>
      </c>
      <c r="R32" s="13">
        <f t="shared" si="9"/>
        <v>0</v>
      </c>
      <c r="S32" s="13">
        <f t="shared" si="10"/>
        <v>0</v>
      </c>
      <c r="T32" s="13">
        <f t="shared" si="11"/>
        <v>0</v>
      </c>
      <c r="U32" s="13">
        <f t="shared" si="12"/>
        <v>0</v>
      </c>
      <c r="V32" s="13">
        <f t="shared" si="13"/>
        <v>0</v>
      </c>
    </row>
    <row r="33" spans="1:22" x14ac:dyDescent="0.2">
      <c r="B33" s="124" t="s">
        <v>636</v>
      </c>
      <c r="C33" s="5">
        <v>0</v>
      </c>
      <c r="D33" s="5">
        <v>0</v>
      </c>
      <c r="E33" s="5">
        <v>0</v>
      </c>
      <c r="F33" s="5">
        <v>0</v>
      </c>
      <c r="G33" s="5">
        <v>0</v>
      </c>
      <c r="H33" s="5">
        <v>0</v>
      </c>
      <c r="J33" s="13">
        <f t="shared" si="2"/>
        <v>0</v>
      </c>
      <c r="K33" s="13">
        <f t="shared" si="3"/>
        <v>0</v>
      </c>
      <c r="L33" s="13">
        <f t="shared" si="4"/>
        <v>0</v>
      </c>
      <c r="M33" s="13">
        <f t="shared" si="5"/>
        <v>0</v>
      </c>
      <c r="N33" s="13">
        <f t="shared" si="6"/>
        <v>0</v>
      </c>
      <c r="O33" s="13">
        <f t="shared" si="7"/>
        <v>0</v>
      </c>
      <c r="Q33" s="13">
        <f t="shared" si="8"/>
        <v>0</v>
      </c>
      <c r="R33" s="13">
        <f t="shared" si="9"/>
        <v>0</v>
      </c>
      <c r="S33" s="13">
        <f t="shared" si="10"/>
        <v>0</v>
      </c>
      <c r="T33" s="13">
        <f t="shared" si="11"/>
        <v>0</v>
      </c>
      <c r="U33" s="13">
        <f t="shared" si="12"/>
        <v>0</v>
      </c>
      <c r="V33" s="13">
        <f t="shared" si="13"/>
        <v>0</v>
      </c>
    </row>
    <row r="34" spans="1:22" x14ac:dyDescent="0.2">
      <c r="B34" s="124" t="s">
        <v>512</v>
      </c>
      <c r="C34" s="5">
        <v>0</v>
      </c>
      <c r="D34" s="5">
        <v>0</v>
      </c>
      <c r="E34" s="5">
        <v>0</v>
      </c>
      <c r="F34" s="5">
        <v>0</v>
      </c>
      <c r="G34" s="5">
        <v>0</v>
      </c>
      <c r="H34" s="5">
        <v>0</v>
      </c>
      <c r="J34" s="13">
        <f t="shared" si="2"/>
        <v>0</v>
      </c>
      <c r="K34" s="13">
        <f t="shared" si="3"/>
        <v>0</v>
      </c>
      <c r="L34" s="13">
        <f t="shared" si="4"/>
        <v>0</v>
      </c>
      <c r="M34" s="13">
        <f t="shared" si="5"/>
        <v>0</v>
      </c>
      <c r="N34" s="13">
        <f t="shared" si="6"/>
        <v>0</v>
      </c>
      <c r="O34" s="13">
        <f t="shared" si="7"/>
        <v>0</v>
      </c>
      <c r="Q34" s="13">
        <f t="shared" si="8"/>
        <v>0</v>
      </c>
      <c r="R34" s="13">
        <f t="shared" si="9"/>
        <v>0</v>
      </c>
      <c r="S34" s="13">
        <f t="shared" si="10"/>
        <v>0</v>
      </c>
      <c r="T34" s="13">
        <f t="shared" si="11"/>
        <v>0</v>
      </c>
      <c r="U34" s="13">
        <f t="shared" si="12"/>
        <v>0</v>
      </c>
      <c r="V34" s="13">
        <f t="shared" si="13"/>
        <v>0</v>
      </c>
    </row>
    <row r="35" spans="1:22" x14ac:dyDescent="0.2">
      <c r="B35" s="124" t="s">
        <v>630</v>
      </c>
      <c r="C35" s="5">
        <f>Cheesecake!BB29</f>
        <v>51.531338550178837</v>
      </c>
      <c r="D35" s="5">
        <v>0</v>
      </c>
      <c r="E35" s="5">
        <f>Cheesecake!AY29</f>
        <v>168.30959961864107</v>
      </c>
      <c r="F35" s="5">
        <f>Cheesecake!AV29</f>
        <v>244.24055941756092</v>
      </c>
      <c r="G35" s="5">
        <v>0</v>
      </c>
      <c r="H35" s="5">
        <v>0</v>
      </c>
      <c r="J35" s="13">
        <f t="shared" si="2"/>
        <v>114.51408566706408</v>
      </c>
      <c r="K35" s="13">
        <f t="shared" si="3"/>
        <v>0</v>
      </c>
      <c r="L35" s="13">
        <f t="shared" si="4"/>
        <v>374.02133248586904</v>
      </c>
      <c r="M35" s="13">
        <f t="shared" si="5"/>
        <v>542.75679870569093</v>
      </c>
      <c r="N35" s="13">
        <f t="shared" si="6"/>
        <v>0</v>
      </c>
      <c r="O35" s="13">
        <f t="shared" si="7"/>
        <v>0</v>
      </c>
      <c r="Q35" s="13">
        <f t="shared" si="8"/>
        <v>108.78838138371087</v>
      </c>
      <c r="R35" s="13">
        <f t="shared" si="9"/>
        <v>0</v>
      </c>
      <c r="S35" s="13">
        <f t="shared" si="10"/>
        <v>355.32026586157559</v>
      </c>
      <c r="T35" s="13">
        <f t="shared" si="11"/>
        <v>515.61895877040638</v>
      </c>
      <c r="U35" s="13">
        <f t="shared" si="12"/>
        <v>0</v>
      </c>
      <c r="V35" s="13">
        <f t="shared" si="13"/>
        <v>0</v>
      </c>
    </row>
    <row r="36" spans="1:22" x14ac:dyDescent="0.2">
      <c r="B36" s="124" t="s">
        <v>720</v>
      </c>
      <c r="C36" s="5">
        <f>Cheesecake!BM29</f>
        <v>56.522500773204584</v>
      </c>
      <c r="D36" s="5">
        <v>0</v>
      </c>
      <c r="E36" s="5">
        <f>Cheesecake!BJ29</f>
        <v>194.38114258937796</v>
      </c>
      <c r="F36" s="5">
        <f>Cheesecake!BG29</f>
        <v>280.56721278709</v>
      </c>
      <c r="G36" s="5">
        <v>0</v>
      </c>
      <c r="H36" s="5">
        <v>0</v>
      </c>
      <c r="J36" s="13">
        <f t="shared" ref="J36:O37" si="14">C36/$J$2</f>
        <v>125.60555727378797</v>
      </c>
      <c r="K36" s="13">
        <f t="shared" si="14"/>
        <v>0</v>
      </c>
      <c r="L36" s="13">
        <f t="shared" si="14"/>
        <v>431.95809464306211</v>
      </c>
      <c r="M36" s="13">
        <f t="shared" si="14"/>
        <v>623.4826950824222</v>
      </c>
      <c r="N36" s="13">
        <f t="shared" si="14"/>
        <v>0</v>
      </c>
      <c r="O36" s="13">
        <f t="shared" si="14"/>
        <v>0</v>
      </c>
      <c r="Q36" s="13">
        <f t="shared" ref="Q36:V37" si="15">J36*(1-$Q$2)</f>
        <v>119.32527941009856</v>
      </c>
      <c r="R36" s="13">
        <f t="shared" si="15"/>
        <v>0</v>
      </c>
      <c r="S36" s="13">
        <f t="shared" si="15"/>
        <v>410.36018991090901</v>
      </c>
      <c r="T36" s="13">
        <f t="shared" si="15"/>
        <v>592.30856032830104</v>
      </c>
      <c r="U36" s="13">
        <f t="shared" si="15"/>
        <v>0</v>
      </c>
      <c r="V36" s="13">
        <f t="shared" si="15"/>
        <v>0</v>
      </c>
    </row>
    <row r="37" spans="1:22" x14ac:dyDescent="0.2">
      <c r="B37" s="124" t="s">
        <v>512</v>
      </c>
      <c r="C37" s="5">
        <f>Cheesecake!BX29</f>
        <v>47.115889120204187</v>
      </c>
      <c r="D37" s="5">
        <v>0</v>
      </c>
      <c r="E37" s="5">
        <f>Cheesecake!BU29</f>
        <v>159.56780682674935</v>
      </c>
      <c r="F37" s="5">
        <f>Cheesecake!BR29</f>
        <v>260.52072444318702</v>
      </c>
      <c r="G37" s="5">
        <v>0</v>
      </c>
      <c r="H37" s="5">
        <v>0</v>
      </c>
      <c r="J37" s="13">
        <f t="shared" si="14"/>
        <v>104.70197582267596</v>
      </c>
      <c r="K37" s="13">
        <f t="shared" si="14"/>
        <v>0</v>
      </c>
      <c r="L37" s="13">
        <f t="shared" si="14"/>
        <v>354.59512628166522</v>
      </c>
      <c r="M37" s="13">
        <f t="shared" si="14"/>
        <v>578.93494320708226</v>
      </c>
      <c r="N37" s="13">
        <f t="shared" si="14"/>
        <v>0</v>
      </c>
      <c r="O37" s="13">
        <f t="shared" si="14"/>
        <v>0</v>
      </c>
      <c r="Q37" s="13">
        <f t="shared" si="15"/>
        <v>99.466877031542154</v>
      </c>
      <c r="R37" s="13">
        <f t="shared" si="15"/>
        <v>0</v>
      </c>
      <c r="S37" s="13">
        <f t="shared" si="15"/>
        <v>336.86536996758196</v>
      </c>
      <c r="T37" s="13">
        <f t="shared" si="15"/>
        <v>549.98819604672815</v>
      </c>
      <c r="U37" s="13">
        <f t="shared" si="15"/>
        <v>0</v>
      </c>
      <c r="V37" s="13">
        <f t="shared" si="15"/>
        <v>0</v>
      </c>
    </row>
    <row r="38" spans="1:22" x14ac:dyDescent="0.2">
      <c r="B38" s="124"/>
      <c r="C38" s="5"/>
      <c r="D38" s="5"/>
      <c r="E38" s="5"/>
      <c r="F38" s="5"/>
      <c r="G38" s="5"/>
      <c r="H38" s="5"/>
      <c r="J38" s="13"/>
      <c r="K38" s="13"/>
      <c r="L38" s="13"/>
      <c r="M38" s="13"/>
      <c r="N38" s="13"/>
      <c r="O38" s="13"/>
      <c r="Q38" s="13"/>
      <c r="R38" s="13"/>
      <c r="S38" s="13"/>
      <c r="T38" s="13"/>
      <c r="U38" s="13"/>
      <c r="V38" s="13"/>
    </row>
    <row r="39" spans="1:22" ht="16" thickBot="1" x14ac:dyDescent="0.25">
      <c r="C39" s="143" t="s">
        <v>375</v>
      </c>
      <c r="D39" s="143" t="s">
        <v>370</v>
      </c>
      <c r="E39" s="143" t="s">
        <v>371</v>
      </c>
      <c r="F39" s="143" t="s">
        <v>372</v>
      </c>
      <c r="G39" s="143" t="s">
        <v>373</v>
      </c>
      <c r="H39" s="143" t="s">
        <v>413</v>
      </c>
      <c r="J39" s="143" t="s">
        <v>375</v>
      </c>
      <c r="K39" s="143" t="s">
        <v>370</v>
      </c>
      <c r="L39" s="143" t="s">
        <v>371</v>
      </c>
      <c r="M39" s="143" t="s">
        <v>372</v>
      </c>
      <c r="N39" s="143" t="s">
        <v>373</v>
      </c>
      <c r="O39" s="143" t="s">
        <v>413</v>
      </c>
      <c r="Q39" s="143" t="s">
        <v>375</v>
      </c>
      <c r="R39" s="143" t="s">
        <v>370</v>
      </c>
      <c r="S39" s="143" t="s">
        <v>371</v>
      </c>
      <c r="T39" s="143" t="s">
        <v>372</v>
      </c>
      <c r="U39" s="143" t="s">
        <v>373</v>
      </c>
      <c r="V39" s="143" t="s">
        <v>413</v>
      </c>
    </row>
    <row r="40" spans="1:22" x14ac:dyDescent="0.2">
      <c r="A40" s="20" t="s">
        <v>434</v>
      </c>
      <c r="B40" s="124" t="s">
        <v>400</v>
      </c>
      <c r="C40" s="5">
        <v>0</v>
      </c>
      <c r="D40" s="13">
        <f>AVERAGE(D10,D11,D13,D14)</f>
        <v>70.518724958359087</v>
      </c>
      <c r="E40" s="13">
        <f>AVERAGE(E10:E12,E14:E15)</f>
        <v>166.65862070975527</v>
      </c>
      <c r="F40" s="13">
        <f>AVERAGE(F10:F12,F14:F17)</f>
        <v>222.65560037598985</v>
      </c>
      <c r="G40" s="13">
        <f>AVERAGE(G10:G12,G14:G17)</f>
        <v>352.71232104020379</v>
      </c>
      <c r="H40" s="13">
        <f>AVERAGE(H10:H12,H14:H17)</f>
        <v>25.914914175791107</v>
      </c>
      <c r="J40" s="13">
        <f t="shared" si="2"/>
        <v>0</v>
      </c>
      <c r="K40" s="13">
        <f t="shared" si="3"/>
        <v>156.70827768524242</v>
      </c>
      <c r="L40" s="13">
        <f t="shared" si="4"/>
        <v>370.35249046612279</v>
      </c>
      <c r="M40" s="13">
        <f t="shared" si="5"/>
        <v>494.79022305775521</v>
      </c>
      <c r="N40" s="13">
        <f t="shared" si="6"/>
        <v>783.80515786711953</v>
      </c>
      <c r="O40" s="13">
        <f t="shared" si="7"/>
        <v>57.588698168424685</v>
      </c>
      <c r="Q40" s="13">
        <f t="shared" si="8"/>
        <v>0</v>
      </c>
      <c r="R40" s="13">
        <f t="shared" si="9"/>
        <v>148.8728638009803</v>
      </c>
      <c r="S40" s="13">
        <f t="shared" si="10"/>
        <v>351.83486594281663</v>
      </c>
      <c r="T40" s="13">
        <f t="shared" si="11"/>
        <v>470.05071190486746</v>
      </c>
      <c r="U40" s="13">
        <f t="shared" si="12"/>
        <v>744.6148999737635</v>
      </c>
      <c r="V40" s="13">
        <f t="shared" si="13"/>
        <v>54.709263260003446</v>
      </c>
    </row>
    <row r="41" spans="1:22" x14ac:dyDescent="0.2">
      <c r="B41" s="124" t="s">
        <v>414</v>
      </c>
      <c r="C41" s="13">
        <f>AVERAGE(C4:C7)</f>
        <v>19.176337998092297</v>
      </c>
      <c r="D41" s="13">
        <f>AVERAGE(D4:D9)</f>
        <v>0</v>
      </c>
      <c r="E41" s="13">
        <f>AVERAGE(E4:E9)</f>
        <v>0</v>
      </c>
      <c r="F41" s="13">
        <f>AVERAGE(F4:F6)</f>
        <v>141.39691474672452</v>
      </c>
      <c r="G41" s="13">
        <f t="shared" ref="G41:H41" si="16">AVERAGE(G4:G6)</f>
        <v>236.54777488200969</v>
      </c>
      <c r="H41" s="13">
        <f t="shared" si="16"/>
        <v>32.269111860251215</v>
      </c>
      <c r="J41" s="13">
        <f t="shared" si="2"/>
        <v>42.614084440205104</v>
      </c>
      <c r="K41" s="13">
        <f t="shared" si="3"/>
        <v>0</v>
      </c>
      <c r="L41" s="13">
        <f t="shared" si="4"/>
        <v>0</v>
      </c>
      <c r="M41" s="13">
        <f t="shared" si="5"/>
        <v>314.21536610383225</v>
      </c>
      <c r="N41" s="13">
        <f t="shared" si="6"/>
        <v>525.66172196002151</v>
      </c>
      <c r="O41" s="13">
        <f t="shared" si="7"/>
        <v>71.70913746722492</v>
      </c>
      <c r="Q41" s="13">
        <f t="shared" si="8"/>
        <v>40.483380218194846</v>
      </c>
      <c r="R41" s="13">
        <f t="shared" si="9"/>
        <v>0</v>
      </c>
      <c r="S41" s="13">
        <f t="shared" si="10"/>
        <v>0</v>
      </c>
      <c r="T41" s="13">
        <f t="shared" si="11"/>
        <v>298.50459779864065</v>
      </c>
      <c r="U41" s="13">
        <f t="shared" si="12"/>
        <v>499.37863586202042</v>
      </c>
      <c r="V41" s="13">
        <f t="shared" si="13"/>
        <v>68.123680593863668</v>
      </c>
    </row>
    <row r="42" spans="1:22" x14ac:dyDescent="0.2">
      <c r="B42" s="124" t="s">
        <v>432</v>
      </c>
      <c r="C42" s="13">
        <f>AVERAGE(C28:C31,C35)</f>
        <v>52.71882935480172</v>
      </c>
      <c r="D42" s="13">
        <f t="shared" ref="D42:H42" si="17">AVERAGE(D28:D31,D35)</f>
        <v>0</v>
      </c>
      <c r="E42" s="13">
        <f t="shared" si="17"/>
        <v>186.91962364500827</v>
      </c>
      <c r="F42" s="13">
        <f t="shared" si="17"/>
        <v>270.9327882801955</v>
      </c>
      <c r="G42" s="13">
        <f t="shared" si="17"/>
        <v>0</v>
      </c>
      <c r="H42" s="13">
        <f t="shared" si="17"/>
        <v>0</v>
      </c>
      <c r="J42" s="13">
        <f t="shared" si="2"/>
        <v>117.15295412178159</v>
      </c>
      <c r="K42" s="13">
        <f t="shared" si="3"/>
        <v>0</v>
      </c>
      <c r="L42" s="13">
        <f t="shared" si="4"/>
        <v>415.3769414333517</v>
      </c>
      <c r="M42" s="13">
        <f t="shared" si="5"/>
        <v>602.07286284487884</v>
      </c>
      <c r="N42" s="13">
        <f t="shared" si="6"/>
        <v>0</v>
      </c>
      <c r="O42" s="13">
        <f t="shared" si="7"/>
        <v>0</v>
      </c>
      <c r="Q42" s="13">
        <f t="shared" si="8"/>
        <v>111.29530641569251</v>
      </c>
      <c r="R42" s="13">
        <f t="shared" si="9"/>
        <v>0</v>
      </c>
      <c r="S42" s="13">
        <f t="shared" si="10"/>
        <v>394.6080943616841</v>
      </c>
      <c r="T42" s="13">
        <f t="shared" si="11"/>
        <v>571.96921970263486</v>
      </c>
      <c r="U42" s="13">
        <f t="shared" si="12"/>
        <v>0</v>
      </c>
      <c r="V42" s="13">
        <f t="shared" si="13"/>
        <v>0</v>
      </c>
    </row>
    <row r="43" spans="1:22" x14ac:dyDescent="0.2">
      <c r="B43" s="124" t="s">
        <v>426</v>
      </c>
      <c r="C43" s="5">
        <f>IFERROR(AVERAGE(C20:C22),0)</f>
        <v>0</v>
      </c>
      <c r="D43" s="5">
        <f>IFERROR(AVERAGE(D20:D21),0)</f>
        <v>23.125880625879148</v>
      </c>
      <c r="E43" s="5">
        <f t="shared" ref="E43:H43" si="18">IFERROR(AVERAGE(E20:E22),0)</f>
        <v>0</v>
      </c>
      <c r="F43" s="5">
        <f t="shared" si="18"/>
        <v>0</v>
      </c>
      <c r="G43" s="5">
        <f>IFERROR(AVERAGE(G20:G21),0)</f>
        <v>38.51318089559345</v>
      </c>
      <c r="H43" s="5">
        <f t="shared" si="18"/>
        <v>0</v>
      </c>
      <c r="J43" s="13">
        <f t="shared" si="2"/>
        <v>0</v>
      </c>
      <c r="K43" s="13">
        <f t="shared" si="3"/>
        <v>51.390845835286996</v>
      </c>
      <c r="L43" s="13">
        <f t="shared" si="4"/>
        <v>0</v>
      </c>
      <c r="M43" s="13">
        <f t="shared" si="5"/>
        <v>0</v>
      </c>
      <c r="N43" s="13">
        <f t="shared" si="6"/>
        <v>85.584846434652107</v>
      </c>
      <c r="O43" s="13">
        <f t="shared" si="7"/>
        <v>0</v>
      </c>
      <c r="Q43" s="13">
        <f t="shared" si="8"/>
        <v>0</v>
      </c>
      <c r="R43" s="13">
        <f t="shared" si="9"/>
        <v>48.821303543522646</v>
      </c>
      <c r="S43" s="13">
        <f t="shared" si="10"/>
        <v>0</v>
      </c>
      <c r="T43" s="13">
        <f t="shared" si="11"/>
        <v>0</v>
      </c>
      <c r="U43" s="13">
        <f t="shared" si="12"/>
        <v>81.305604112919497</v>
      </c>
      <c r="V43" s="13">
        <f t="shared" si="13"/>
        <v>0</v>
      </c>
    </row>
    <row r="44" spans="1:22" x14ac:dyDescent="0.2">
      <c r="B44" s="124" t="s">
        <v>374</v>
      </c>
      <c r="C44" s="13">
        <f>AVERAGE(C23:C27)</f>
        <v>14.795071059059378</v>
      </c>
      <c r="D44" s="13">
        <f t="shared" ref="D44:G44" si="19">AVERAGE(D23:D27)</f>
        <v>0</v>
      </c>
      <c r="E44" s="13">
        <f t="shared" si="19"/>
        <v>0</v>
      </c>
      <c r="F44" s="13">
        <f t="shared" si="19"/>
        <v>0</v>
      </c>
      <c r="G44" s="13">
        <f t="shared" si="19"/>
        <v>0</v>
      </c>
      <c r="H44" s="13">
        <f>AVERAGE(H23:H27)</f>
        <v>0</v>
      </c>
      <c r="J44" s="13">
        <f t="shared" si="2"/>
        <v>32.877935686798615</v>
      </c>
      <c r="K44" s="13">
        <f t="shared" si="3"/>
        <v>0</v>
      </c>
      <c r="L44" s="13">
        <f t="shared" si="4"/>
        <v>0</v>
      </c>
      <c r="M44" s="13">
        <f t="shared" si="5"/>
        <v>0</v>
      </c>
      <c r="N44" s="13">
        <f t="shared" si="6"/>
        <v>0</v>
      </c>
      <c r="O44" s="13">
        <f t="shared" si="7"/>
        <v>0</v>
      </c>
      <c r="Q44" s="13">
        <f t="shared" si="8"/>
        <v>31.234038902458682</v>
      </c>
      <c r="R44" s="13">
        <f t="shared" si="9"/>
        <v>0</v>
      </c>
      <c r="S44" s="13">
        <f t="shared" si="10"/>
        <v>0</v>
      </c>
      <c r="T44" s="13">
        <f t="shared" si="11"/>
        <v>0</v>
      </c>
      <c r="U44" s="13">
        <f t="shared" si="12"/>
        <v>0</v>
      </c>
      <c r="V44" s="13">
        <f t="shared" si="13"/>
        <v>0</v>
      </c>
    </row>
    <row r="51" spans="2:7" x14ac:dyDescent="0.2">
      <c r="D51" s="310" t="s">
        <v>676</v>
      </c>
      <c r="E51" s="310"/>
      <c r="F51" s="310"/>
      <c r="G51" s="310"/>
    </row>
    <row r="52" spans="2:7" x14ac:dyDescent="0.2">
      <c r="D52" t="s">
        <v>672</v>
      </c>
      <c r="E52" t="s">
        <v>673</v>
      </c>
      <c r="F52" t="s">
        <v>674</v>
      </c>
      <c r="G52" t="s">
        <v>675</v>
      </c>
    </row>
    <row r="53" spans="2:7" x14ac:dyDescent="0.2">
      <c r="D53" s="310" t="s">
        <v>667</v>
      </c>
      <c r="E53" s="310"/>
      <c r="F53" s="310"/>
      <c r="G53" s="310"/>
    </row>
    <row r="54" spans="2:7" x14ac:dyDescent="0.2">
      <c r="D54" t="s">
        <v>668</v>
      </c>
      <c r="E54" t="s">
        <v>669</v>
      </c>
      <c r="F54" t="s">
        <v>670</v>
      </c>
      <c r="G54" t="s">
        <v>671</v>
      </c>
    </row>
    <row r="55" spans="2:7" x14ac:dyDescent="0.2">
      <c r="D55" s="310" t="s">
        <v>666</v>
      </c>
      <c r="E55" s="310"/>
      <c r="F55" s="310"/>
      <c r="G55" s="310"/>
    </row>
    <row r="56" spans="2:7" x14ac:dyDescent="0.2">
      <c r="D56" s="26">
        <v>0.05</v>
      </c>
      <c r="E56" s="26">
        <v>0.08</v>
      </c>
      <c r="F56" s="26">
        <v>0.1</v>
      </c>
      <c r="G56" s="26">
        <v>0.15</v>
      </c>
    </row>
    <row r="57" spans="2:7" x14ac:dyDescent="0.2">
      <c r="B57" t="s">
        <v>427</v>
      </c>
      <c r="C57" s="5">
        <v>490</v>
      </c>
      <c r="D57" s="5">
        <f>C57*(1-$D$56)</f>
        <v>465.5</v>
      </c>
      <c r="E57" s="5">
        <f>C57*(1-$E$56)</f>
        <v>450.8</v>
      </c>
      <c r="F57" s="5">
        <f>C57*(1-$F$56)</f>
        <v>441</v>
      </c>
      <c r="G57" s="5">
        <f>C57*(1-$G$56)</f>
        <v>416.5</v>
      </c>
    </row>
    <row r="58" spans="2:7" x14ac:dyDescent="0.2">
      <c r="B58" t="s">
        <v>423</v>
      </c>
      <c r="C58" s="5">
        <v>500</v>
      </c>
      <c r="D58" s="5">
        <f t="shared" ref="D58:D77" si="20">C58*(1-$D$56)</f>
        <v>475</v>
      </c>
      <c r="E58" s="5">
        <f t="shared" ref="E58:E77" si="21">C58*(1-$E$56)</f>
        <v>460</v>
      </c>
      <c r="F58" s="5">
        <f t="shared" ref="F58:F77" si="22">C58*(1-$F$56)</f>
        <v>450</v>
      </c>
      <c r="G58" s="5">
        <f t="shared" ref="G58:G77" si="23">C58*(1-$G$56)</f>
        <v>425</v>
      </c>
    </row>
    <row r="59" spans="2:7" x14ac:dyDescent="0.2">
      <c r="B59" t="s">
        <v>420</v>
      </c>
      <c r="C59" s="5">
        <v>490</v>
      </c>
      <c r="D59" s="5">
        <f t="shared" si="20"/>
        <v>465.5</v>
      </c>
      <c r="E59" s="5">
        <f t="shared" si="21"/>
        <v>450.8</v>
      </c>
      <c r="F59" s="5">
        <f t="shared" si="22"/>
        <v>441</v>
      </c>
      <c r="G59" s="5">
        <f t="shared" si="23"/>
        <v>416.5</v>
      </c>
    </row>
    <row r="60" spans="2:7" x14ac:dyDescent="0.2">
      <c r="B60" t="s">
        <v>422</v>
      </c>
      <c r="C60" s="5">
        <v>490</v>
      </c>
      <c r="D60" s="5">
        <f t="shared" si="20"/>
        <v>465.5</v>
      </c>
      <c r="E60" s="5">
        <f t="shared" si="21"/>
        <v>450.8</v>
      </c>
      <c r="F60" s="5">
        <f t="shared" si="22"/>
        <v>441</v>
      </c>
      <c r="G60" s="5">
        <f t="shared" si="23"/>
        <v>416.5</v>
      </c>
    </row>
    <row r="61" spans="2:7" x14ac:dyDescent="0.2">
      <c r="B61" t="s">
        <v>180</v>
      </c>
      <c r="C61" s="5">
        <v>440</v>
      </c>
      <c r="D61" s="5">
        <f t="shared" si="20"/>
        <v>418</v>
      </c>
      <c r="E61" s="5">
        <f t="shared" si="21"/>
        <v>404.8</v>
      </c>
      <c r="F61" s="5">
        <f t="shared" si="22"/>
        <v>396</v>
      </c>
      <c r="G61" s="5">
        <f t="shared" si="23"/>
        <v>374</v>
      </c>
    </row>
    <row r="62" spans="2:7" x14ac:dyDescent="0.2">
      <c r="B62" t="s">
        <v>665</v>
      </c>
      <c r="C62" s="5">
        <v>495</v>
      </c>
      <c r="D62" s="5">
        <f t="shared" si="20"/>
        <v>470.25</v>
      </c>
      <c r="E62" s="5">
        <f t="shared" si="21"/>
        <v>455.40000000000003</v>
      </c>
      <c r="F62" s="5">
        <f t="shared" si="22"/>
        <v>445.5</v>
      </c>
      <c r="G62" s="5">
        <f t="shared" si="23"/>
        <v>420.75</v>
      </c>
    </row>
    <row r="63" spans="2:7" x14ac:dyDescent="0.2">
      <c r="B63" t="s">
        <v>431</v>
      </c>
      <c r="C63" s="5">
        <v>600</v>
      </c>
      <c r="D63" s="5">
        <f t="shared" si="20"/>
        <v>570</v>
      </c>
      <c r="E63" s="5">
        <f t="shared" si="21"/>
        <v>552</v>
      </c>
      <c r="F63" s="5">
        <f t="shared" si="22"/>
        <v>540</v>
      </c>
      <c r="G63" s="5">
        <f t="shared" si="23"/>
        <v>510</v>
      </c>
    </row>
    <row r="64" spans="2:7" x14ac:dyDescent="0.2">
      <c r="B64" t="s">
        <v>433</v>
      </c>
      <c r="C64" s="5">
        <v>600</v>
      </c>
      <c r="D64" s="5">
        <f t="shared" si="20"/>
        <v>570</v>
      </c>
      <c r="E64" s="5">
        <f t="shared" si="21"/>
        <v>552</v>
      </c>
      <c r="F64" s="5">
        <f t="shared" si="22"/>
        <v>540</v>
      </c>
      <c r="G64" s="5">
        <f t="shared" si="23"/>
        <v>510</v>
      </c>
    </row>
    <row r="65" spans="2:7" x14ac:dyDescent="0.2">
      <c r="B65" t="s">
        <v>396</v>
      </c>
      <c r="C65" s="5">
        <v>600</v>
      </c>
      <c r="D65" s="5">
        <f t="shared" si="20"/>
        <v>570</v>
      </c>
      <c r="E65" s="5">
        <f t="shared" si="21"/>
        <v>552</v>
      </c>
      <c r="F65" s="5">
        <f t="shared" si="22"/>
        <v>540</v>
      </c>
      <c r="G65" s="5">
        <f t="shared" si="23"/>
        <v>510</v>
      </c>
    </row>
    <row r="66" spans="2:7" x14ac:dyDescent="0.2">
      <c r="B66" t="s">
        <v>635</v>
      </c>
      <c r="C66" s="5">
        <v>600</v>
      </c>
      <c r="D66" s="5">
        <f t="shared" si="20"/>
        <v>570</v>
      </c>
      <c r="E66" s="5">
        <f t="shared" si="21"/>
        <v>552</v>
      </c>
      <c r="F66" s="5">
        <f t="shared" si="22"/>
        <v>540</v>
      </c>
      <c r="G66" s="5">
        <f t="shared" si="23"/>
        <v>510</v>
      </c>
    </row>
    <row r="67" spans="2:7" x14ac:dyDescent="0.2">
      <c r="B67" t="s">
        <v>630</v>
      </c>
      <c r="C67" s="5">
        <v>550</v>
      </c>
      <c r="D67" s="5">
        <f t="shared" si="20"/>
        <v>522.5</v>
      </c>
      <c r="E67" s="5">
        <f t="shared" si="21"/>
        <v>506</v>
      </c>
      <c r="F67" s="5">
        <f t="shared" si="22"/>
        <v>495</v>
      </c>
      <c r="G67" s="5">
        <f t="shared" si="23"/>
        <v>467.5</v>
      </c>
    </row>
    <row r="68" spans="2:7" x14ac:dyDescent="0.2">
      <c r="B68" t="s">
        <v>677</v>
      </c>
      <c r="C68" s="5">
        <v>35</v>
      </c>
      <c r="D68" s="5">
        <f t="shared" si="20"/>
        <v>33.25</v>
      </c>
      <c r="E68" s="5">
        <f t="shared" si="21"/>
        <v>32.200000000000003</v>
      </c>
      <c r="F68" s="5">
        <f t="shared" si="22"/>
        <v>31.5</v>
      </c>
      <c r="G68" s="5">
        <f t="shared" si="23"/>
        <v>29.75</v>
      </c>
    </row>
    <row r="69" spans="2:7" x14ac:dyDescent="0.2">
      <c r="B69" t="s">
        <v>678</v>
      </c>
      <c r="C69" s="5">
        <v>22</v>
      </c>
      <c r="D69" s="5">
        <f t="shared" si="20"/>
        <v>20.9</v>
      </c>
      <c r="E69" s="5">
        <f t="shared" si="21"/>
        <v>20.240000000000002</v>
      </c>
      <c r="F69" s="5">
        <f t="shared" si="22"/>
        <v>19.8</v>
      </c>
      <c r="G69" s="5">
        <f t="shared" si="23"/>
        <v>18.7</v>
      </c>
    </row>
    <row r="70" spans="2:7" x14ac:dyDescent="0.2">
      <c r="B70" t="s">
        <v>679</v>
      </c>
      <c r="C70" s="5">
        <v>35</v>
      </c>
      <c r="D70" s="5">
        <f t="shared" si="20"/>
        <v>33.25</v>
      </c>
      <c r="E70" s="5">
        <f t="shared" si="21"/>
        <v>32.200000000000003</v>
      </c>
      <c r="F70" s="5">
        <f t="shared" si="22"/>
        <v>31.5</v>
      </c>
      <c r="G70" s="5">
        <f t="shared" si="23"/>
        <v>29.75</v>
      </c>
    </row>
    <row r="71" spans="2:7" x14ac:dyDescent="0.2">
      <c r="B71" t="s">
        <v>88</v>
      </c>
      <c r="C71" s="5">
        <v>40</v>
      </c>
      <c r="D71" s="5">
        <f t="shared" si="20"/>
        <v>38</v>
      </c>
      <c r="E71" s="5">
        <f t="shared" si="21"/>
        <v>36.800000000000004</v>
      </c>
      <c r="F71" s="5">
        <f t="shared" si="22"/>
        <v>36</v>
      </c>
      <c r="G71" s="5">
        <f t="shared" si="23"/>
        <v>34</v>
      </c>
    </row>
    <row r="72" spans="2:7" x14ac:dyDescent="0.2">
      <c r="B72" t="s">
        <v>680</v>
      </c>
      <c r="C72" s="5">
        <v>35</v>
      </c>
      <c r="D72" s="5">
        <f t="shared" si="20"/>
        <v>33.25</v>
      </c>
      <c r="E72" s="5">
        <f t="shared" si="21"/>
        <v>32.200000000000003</v>
      </c>
      <c r="F72" s="5">
        <f t="shared" si="22"/>
        <v>31.5</v>
      </c>
      <c r="G72" s="5">
        <f t="shared" si="23"/>
        <v>29.75</v>
      </c>
    </row>
    <row r="73" spans="2:7" x14ac:dyDescent="0.2">
      <c r="B73" t="s">
        <v>693</v>
      </c>
      <c r="C73" s="5">
        <v>29</v>
      </c>
      <c r="D73" s="5">
        <f t="shared" si="20"/>
        <v>27.549999999999997</v>
      </c>
      <c r="E73" s="5">
        <f t="shared" si="21"/>
        <v>26.68</v>
      </c>
      <c r="F73" s="5">
        <f t="shared" si="22"/>
        <v>26.1</v>
      </c>
      <c r="G73" s="5">
        <f t="shared" si="23"/>
        <v>24.65</v>
      </c>
    </row>
    <row r="74" spans="2:7" x14ac:dyDescent="0.2">
      <c r="B74" t="s">
        <v>694</v>
      </c>
      <c r="C74" s="5">
        <v>29</v>
      </c>
      <c r="D74" s="5">
        <f t="shared" si="20"/>
        <v>27.549999999999997</v>
      </c>
      <c r="E74" s="5">
        <f t="shared" si="21"/>
        <v>26.68</v>
      </c>
      <c r="F74" s="5">
        <f t="shared" si="22"/>
        <v>26.1</v>
      </c>
      <c r="G74" s="5">
        <f t="shared" si="23"/>
        <v>24.65</v>
      </c>
    </row>
    <row r="75" spans="2:7" x14ac:dyDescent="0.2">
      <c r="B75" t="s">
        <v>695</v>
      </c>
      <c r="C75" s="5">
        <v>29</v>
      </c>
      <c r="D75" s="5">
        <f t="shared" si="20"/>
        <v>27.549999999999997</v>
      </c>
      <c r="E75" s="5">
        <f t="shared" si="21"/>
        <v>26.68</v>
      </c>
      <c r="F75" s="5">
        <f t="shared" si="22"/>
        <v>26.1</v>
      </c>
      <c r="G75" s="5">
        <f t="shared" si="23"/>
        <v>24.65</v>
      </c>
    </row>
    <row r="76" spans="2:7" x14ac:dyDescent="0.2">
      <c r="B76" t="s">
        <v>696</v>
      </c>
      <c r="C76" s="5">
        <v>29</v>
      </c>
      <c r="D76" s="5">
        <f t="shared" si="20"/>
        <v>27.549999999999997</v>
      </c>
      <c r="E76" s="5">
        <f t="shared" si="21"/>
        <v>26.68</v>
      </c>
      <c r="F76" s="5">
        <f t="shared" si="22"/>
        <v>26.1</v>
      </c>
      <c r="G76" s="5">
        <f t="shared" si="23"/>
        <v>24.65</v>
      </c>
    </row>
    <row r="77" spans="2:7" x14ac:dyDescent="0.2">
      <c r="B77" t="s">
        <v>530</v>
      </c>
      <c r="C77" s="5">
        <v>35</v>
      </c>
      <c r="D77" s="5">
        <f t="shared" si="20"/>
        <v>33.25</v>
      </c>
      <c r="E77" s="5">
        <f t="shared" si="21"/>
        <v>32.200000000000003</v>
      </c>
      <c r="F77" s="5">
        <f t="shared" si="22"/>
        <v>31.5</v>
      </c>
      <c r="G77" s="5">
        <f t="shared" si="23"/>
        <v>29.75</v>
      </c>
    </row>
  </sheetData>
  <mergeCells count="6">
    <mergeCell ref="C2:H2"/>
    <mergeCell ref="J1:O1"/>
    <mergeCell ref="Q1:V1"/>
    <mergeCell ref="D53:G53"/>
    <mergeCell ref="D55:G55"/>
    <mergeCell ref="D51:G51"/>
  </mergeCells>
  <pageMargins left="0.7" right="0.7" top="0.75" bottom="0.75" header="0.3" footer="0.3"/>
  <pageSetup scale="93" orientation="portrait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7778E7-179A-4848-8AF5-B7E2E5366DFD}">
  <sheetPr codeName="Hoja3">
    <pageSetUpPr fitToPage="1"/>
  </sheetPr>
  <dimension ref="A1:AU104"/>
  <sheetViews>
    <sheetView zoomScale="110" zoomScaleNormal="110" workbookViewId="0">
      <pane xSplit="2" ySplit="2" topLeftCell="C6" activePane="bottomRight" state="frozen"/>
      <selection pane="topRight" activeCell="C1" sqref="C1"/>
      <selection pane="bottomLeft" activeCell="A3" sqref="A3"/>
      <selection pane="bottomRight" activeCell="N16" sqref="N16"/>
    </sheetView>
  </sheetViews>
  <sheetFormatPr baseColWidth="10" defaultColWidth="11.5" defaultRowHeight="15" x14ac:dyDescent="0.2"/>
  <cols>
    <col min="2" max="2" width="18.1640625" bestFit="1" customWidth="1"/>
    <col min="3" max="3" width="9.6640625" customWidth="1"/>
    <col min="4" max="7" width="9.33203125" customWidth="1"/>
    <col min="8" max="8" width="11" customWidth="1"/>
    <col min="9" max="9" width="14.33203125" customWidth="1"/>
    <col min="10" max="10" width="14.1640625" customWidth="1"/>
    <col min="11" max="11" width="12.33203125" customWidth="1"/>
    <col min="12" max="12" width="11.33203125" customWidth="1"/>
    <col min="13" max="14" width="11.5" customWidth="1"/>
    <col min="15" max="15" width="19.33203125" hidden="1" customWidth="1"/>
    <col min="16" max="20" width="11.5" hidden="1" customWidth="1"/>
    <col min="21" max="21" width="16" hidden="1" customWidth="1"/>
    <col min="22" max="26" width="11.5" hidden="1" customWidth="1"/>
    <col min="27" max="27" width="12.6640625" hidden="1" customWidth="1"/>
    <col min="28" max="32" width="11.5" hidden="1" customWidth="1"/>
    <col min="33" max="33" width="18.1640625" bestFit="1" customWidth="1"/>
    <col min="34" max="34" width="14.1640625" customWidth="1"/>
    <col min="35" max="35" width="12.33203125" customWidth="1"/>
    <col min="36" max="36" width="12.83203125" bestFit="1" customWidth="1"/>
    <col min="39" max="39" width="14.33203125" customWidth="1"/>
    <col min="40" max="40" width="14.1640625" customWidth="1"/>
    <col min="41" max="41" width="12.33203125" customWidth="1"/>
    <col min="42" max="42" width="11.33203125" customWidth="1"/>
    <col min="46" max="47" width="13.5" bestFit="1" customWidth="1"/>
    <col min="48" max="48" width="14.33203125" customWidth="1"/>
    <col min="49" max="49" width="14.1640625" customWidth="1"/>
    <col min="50" max="50" width="12.33203125" customWidth="1"/>
    <col min="51" max="51" width="12.5" customWidth="1"/>
  </cols>
  <sheetData>
    <row r="1" spans="1:47" x14ac:dyDescent="0.2">
      <c r="F1" s="32"/>
      <c r="G1" s="32"/>
      <c r="H1" s="32"/>
      <c r="I1" s="221" t="s">
        <v>617</v>
      </c>
      <c r="J1" s="220">
        <v>0.45</v>
      </c>
      <c r="K1" s="217"/>
      <c r="L1" s="217"/>
      <c r="M1" s="201"/>
      <c r="N1" s="201"/>
      <c r="O1" s="111" t="s">
        <v>620</v>
      </c>
      <c r="P1" s="214">
        <v>0.4</v>
      </c>
      <c r="Q1" s="26"/>
      <c r="R1" s="26"/>
      <c r="U1" s="111" t="s">
        <v>619</v>
      </c>
      <c r="V1" s="214">
        <v>0.35</v>
      </c>
      <c r="W1" s="26"/>
      <c r="X1" s="26"/>
      <c r="AA1" s="111" t="s">
        <v>618</v>
      </c>
      <c r="AB1" s="214">
        <v>0.3</v>
      </c>
      <c r="AC1" s="26"/>
      <c r="AD1" s="26"/>
      <c r="AG1" s="232" t="s">
        <v>700</v>
      </c>
      <c r="AH1" s="223"/>
      <c r="AI1" s="224"/>
      <c r="AJ1" s="224"/>
      <c r="AK1" s="225"/>
      <c r="AL1" s="225"/>
      <c r="AM1" s="221" t="s">
        <v>617</v>
      </c>
      <c r="AN1" s="220">
        <v>0.45</v>
      </c>
      <c r="AO1" s="217"/>
      <c r="AP1" s="217"/>
      <c r="AQ1" s="201"/>
      <c r="AR1" s="201"/>
    </row>
    <row r="2" spans="1:47" ht="16" thickBot="1" x14ac:dyDescent="0.25">
      <c r="A2" s="15"/>
      <c r="B2" s="15"/>
      <c r="C2" s="143" t="s">
        <v>375</v>
      </c>
      <c r="D2" s="143" t="s">
        <v>370</v>
      </c>
      <c r="E2" s="143" t="s">
        <v>371</v>
      </c>
      <c r="F2" s="143" t="s">
        <v>372</v>
      </c>
      <c r="G2" s="143" t="s">
        <v>373</v>
      </c>
      <c r="H2" s="143" t="s">
        <v>413</v>
      </c>
      <c r="I2" s="218" t="s">
        <v>375</v>
      </c>
      <c r="J2" s="218" t="s">
        <v>370</v>
      </c>
      <c r="K2" s="218" t="s">
        <v>371</v>
      </c>
      <c r="L2" s="218" t="s">
        <v>372</v>
      </c>
      <c r="M2" s="218" t="s">
        <v>373</v>
      </c>
      <c r="N2" s="218" t="s">
        <v>413</v>
      </c>
      <c r="O2" s="143" t="s">
        <v>375</v>
      </c>
      <c r="P2" s="143" t="s">
        <v>370</v>
      </c>
      <c r="Q2" s="143" t="s">
        <v>371</v>
      </c>
      <c r="R2" s="143" t="s">
        <v>372</v>
      </c>
      <c r="S2" s="143" t="s">
        <v>373</v>
      </c>
      <c r="T2" s="143" t="s">
        <v>413</v>
      </c>
      <c r="U2" s="143" t="s">
        <v>375</v>
      </c>
      <c r="V2" s="143" t="s">
        <v>370</v>
      </c>
      <c r="W2" s="143" t="s">
        <v>371</v>
      </c>
      <c r="X2" s="143" t="s">
        <v>372</v>
      </c>
      <c r="Y2" s="143" t="s">
        <v>373</v>
      </c>
      <c r="Z2" s="143" t="s">
        <v>413</v>
      </c>
      <c r="AA2" s="143" t="s">
        <v>375</v>
      </c>
      <c r="AB2" s="143" t="s">
        <v>370</v>
      </c>
      <c r="AC2" s="143" t="s">
        <v>371</v>
      </c>
      <c r="AD2" s="143" t="s">
        <v>372</v>
      </c>
      <c r="AE2" s="143" t="s">
        <v>373</v>
      </c>
      <c r="AF2" s="143" t="s">
        <v>413</v>
      </c>
      <c r="AG2" s="228" t="s">
        <v>375</v>
      </c>
      <c r="AH2" s="228" t="s">
        <v>370</v>
      </c>
      <c r="AI2" s="228" t="s">
        <v>371</v>
      </c>
      <c r="AJ2" s="228" t="s">
        <v>372</v>
      </c>
      <c r="AK2" s="228" t="s">
        <v>373</v>
      </c>
      <c r="AL2" s="228" t="s">
        <v>413</v>
      </c>
      <c r="AM2" s="218" t="s">
        <v>375</v>
      </c>
      <c r="AN2" s="218" t="s">
        <v>370</v>
      </c>
      <c r="AO2" s="218" t="s">
        <v>371</v>
      </c>
      <c r="AP2" s="218" t="s">
        <v>372</v>
      </c>
      <c r="AQ2" s="218" t="s">
        <v>373</v>
      </c>
      <c r="AR2" s="218" t="s">
        <v>413</v>
      </c>
    </row>
    <row r="3" spans="1:47" x14ac:dyDescent="0.2">
      <c r="A3" s="20" t="s">
        <v>414</v>
      </c>
      <c r="B3" s="153" t="s">
        <v>50</v>
      </c>
      <c r="C3" s="13">
        <f>Pay!C53</f>
        <v>18.916120952964206</v>
      </c>
      <c r="D3" s="5">
        <v>0</v>
      </c>
      <c r="E3" s="5">
        <v>0</v>
      </c>
      <c r="F3" s="13">
        <f>Pay!D53</f>
        <v>140.58422840484874</v>
      </c>
      <c r="G3" s="13">
        <f>Pay!E53</f>
        <v>240.03392647362585</v>
      </c>
      <c r="H3" s="13">
        <f>Pay!F53</f>
        <v>32.704880809203232</v>
      </c>
      <c r="I3" s="219">
        <f>_xlfn.IFNA(C3/$J$1,0)</f>
        <v>42.03582433992046</v>
      </c>
      <c r="J3" s="219">
        <f t="shared" ref="J3:N3" si="0">_xlfn.IFNA(D3/$J$1,0)</f>
        <v>0</v>
      </c>
      <c r="K3" s="219">
        <f t="shared" si="0"/>
        <v>0</v>
      </c>
      <c r="L3" s="219">
        <f>_xlfn.IFNA(F3/$J$1,0)</f>
        <v>312.40939645521945</v>
      </c>
      <c r="M3" s="219">
        <f t="shared" si="0"/>
        <v>533.40872549694632</v>
      </c>
      <c r="N3" s="219">
        <f t="shared" si="0"/>
        <v>72.677512909340507</v>
      </c>
      <c r="O3" s="32">
        <f>_xlfn.IFNA(C3/$P$1,0)</f>
        <v>47.290302382410516</v>
      </c>
      <c r="P3" s="32">
        <f t="shared" ref="P3:T3" si="1">_xlfn.IFNA(D3/$P$1,0)</f>
        <v>0</v>
      </c>
      <c r="Q3" s="32">
        <f t="shared" si="1"/>
        <v>0</v>
      </c>
      <c r="R3" s="32">
        <f t="shared" si="1"/>
        <v>351.46057101212182</v>
      </c>
      <c r="S3" s="32">
        <f t="shared" si="1"/>
        <v>600.08481618406461</v>
      </c>
      <c r="T3" s="32">
        <f t="shared" si="1"/>
        <v>81.762202023008072</v>
      </c>
      <c r="U3" s="32">
        <f>_xlfn.IFNA(C3/$V$1,0)</f>
        <v>54.046059865612023</v>
      </c>
      <c r="V3" s="32">
        <f t="shared" ref="V3:Z3" si="2">_xlfn.IFNA(D3/$V$1,0)</f>
        <v>0</v>
      </c>
      <c r="W3" s="32">
        <f t="shared" si="2"/>
        <v>0</v>
      </c>
      <c r="X3" s="32">
        <f t="shared" si="2"/>
        <v>401.66922401385358</v>
      </c>
      <c r="Y3" s="32">
        <f t="shared" si="2"/>
        <v>685.81121849607393</v>
      </c>
      <c r="Z3" s="32">
        <f t="shared" si="2"/>
        <v>93.442516597723525</v>
      </c>
      <c r="AA3" s="32">
        <f>_xlfn.IFNA(C3/$AB$1,0)</f>
        <v>63.053736509880693</v>
      </c>
      <c r="AB3" s="32">
        <f t="shared" ref="AB3:AF3" si="3">_xlfn.IFNA(D3/$AB$1,0)</f>
        <v>0</v>
      </c>
      <c r="AC3" s="32">
        <f t="shared" si="3"/>
        <v>0</v>
      </c>
      <c r="AD3" s="32">
        <f t="shared" si="3"/>
        <v>468.61409468282915</v>
      </c>
      <c r="AE3" s="32">
        <f t="shared" si="3"/>
        <v>800.11308824541959</v>
      </c>
      <c r="AF3" s="32">
        <f t="shared" si="3"/>
        <v>109.01626936401078</v>
      </c>
      <c r="AG3" s="229">
        <v>55</v>
      </c>
      <c r="AH3" s="229"/>
      <c r="AI3" s="229"/>
      <c r="AJ3" s="229">
        <v>395</v>
      </c>
      <c r="AK3" s="229">
        <v>495</v>
      </c>
      <c r="AL3" s="229">
        <v>70</v>
      </c>
      <c r="AM3" s="219">
        <f>_xlfn.IFNA(C3/$AN$1,0)</f>
        <v>42.03582433992046</v>
      </c>
      <c r="AN3" s="219">
        <f t="shared" ref="AN3:AR3" si="4">_xlfn.IFNA(D3/$AN$1,0)</f>
        <v>0</v>
      </c>
      <c r="AO3" s="219">
        <f t="shared" si="4"/>
        <v>0</v>
      </c>
      <c r="AP3" s="219">
        <f t="shared" si="4"/>
        <v>312.40939645521945</v>
      </c>
      <c r="AQ3" s="219">
        <f t="shared" si="4"/>
        <v>533.40872549694632</v>
      </c>
      <c r="AR3" s="219">
        <f t="shared" si="4"/>
        <v>72.677512909340507</v>
      </c>
      <c r="AT3" s="26"/>
      <c r="AU3" s="26"/>
    </row>
    <row r="4" spans="1:47" x14ac:dyDescent="0.2">
      <c r="A4" s="20"/>
      <c r="B4" s="153" t="s">
        <v>103</v>
      </c>
      <c r="C4" s="13">
        <f>Pay!C54</f>
        <v>19.055935486006504</v>
      </c>
      <c r="D4" s="5">
        <v>0</v>
      </c>
      <c r="E4" s="5">
        <v>0</v>
      </c>
      <c r="F4" s="13">
        <f>Pay!D54</f>
        <v>148.26907472378448</v>
      </c>
      <c r="G4" s="13">
        <f>Pay!E54</f>
        <v>240.58042103579899</v>
      </c>
      <c r="H4" s="13">
        <f>Pay!F54</f>
        <v>32.77319262947487</v>
      </c>
      <c r="I4" s="219">
        <f t="shared" ref="I4:I53" si="5">_xlfn.IFNA(C4/$J$1,0)</f>
        <v>42.346523302236676</v>
      </c>
      <c r="J4" s="219">
        <f t="shared" ref="J4:J53" si="6">_xlfn.IFNA(D4/$J$1,0)</f>
        <v>0</v>
      </c>
      <c r="K4" s="219">
        <f t="shared" ref="K4:K53" si="7">_xlfn.IFNA(E4/$J$1,0)</f>
        <v>0</v>
      </c>
      <c r="L4" s="219">
        <f t="shared" ref="L4:L53" si="8">_xlfn.IFNA(F4/$J$1,0)</f>
        <v>329.48683271952109</v>
      </c>
      <c r="M4" s="219">
        <f t="shared" ref="M4:M53" si="9">_xlfn.IFNA(G4/$J$1,0)</f>
        <v>534.62315785733108</v>
      </c>
      <c r="N4" s="219">
        <f t="shared" ref="N4:N53" si="10">_xlfn.IFNA(H4/$J$1,0)</f>
        <v>72.829316954388602</v>
      </c>
      <c r="O4" s="32">
        <f t="shared" ref="O4:O30" si="11">_xlfn.IFNA(C4/$P$1,0)</f>
        <v>47.639838715016261</v>
      </c>
      <c r="P4" s="32">
        <f t="shared" ref="P4:P30" si="12">_xlfn.IFNA(D4/$P$1,0)</f>
        <v>0</v>
      </c>
      <c r="Q4" s="32">
        <f t="shared" ref="Q4:Q30" si="13">_xlfn.IFNA(E4/$P$1,0)</f>
        <v>0</v>
      </c>
      <c r="R4" s="32">
        <f t="shared" ref="R4:R30" si="14">_xlfn.IFNA(F4/$P$1,0)</f>
        <v>370.6726868094612</v>
      </c>
      <c r="S4" s="32">
        <f t="shared" ref="S4:S30" si="15">_xlfn.IFNA(G4/$P$1,0)</f>
        <v>601.45105258949741</v>
      </c>
      <c r="T4" s="32">
        <f t="shared" ref="T4:T30" si="16">_xlfn.IFNA(H4/$P$1,0)</f>
        <v>81.932981573687172</v>
      </c>
      <c r="U4" s="32">
        <f t="shared" ref="U4:U30" si="17">_xlfn.IFNA(C4/$V$1,0)</f>
        <v>54.44552996001859</v>
      </c>
      <c r="V4" s="32">
        <f t="shared" ref="V4:V30" si="18">_xlfn.IFNA(D4/$V$1,0)</f>
        <v>0</v>
      </c>
      <c r="W4" s="32">
        <f t="shared" ref="W4:W30" si="19">_xlfn.IFNA(E4/$V$1,0)</f>
        <v>0</v>
      </c>
      <c r="X4" s="32">
        <f t="shared" ref="X4:X30" si="20">_xlfn.IFNA(F4/$V$1,0)</f>
        <v>423.62592778224143</v>
      </c>
      <c r="Y4" s="32">
        <f t="shared" ref="Y4:Y30" si="21">_xlfn.IFNA(G4/$V$1,0)</f>
        <v>687.37263153085428</v>
      </c>
      <c r="Z4" s="32">
        <f t="shared" ref="Z4:Z30" si="22">_xlfn.IFNA(H4/$V$1,0)</f>
        <v>93.637693227071068</v>
      </c>
      <c r="AA4" s="32">
        <f t="shared" ref="AA4:AA30" si="23">_xlfn.IFNA(C4/$AB$1,0)</f>
        <v>63.519784953355014</v>
      </c>
      <c r="AB4" s="32">
        <f t="shared" ref="AB4:AB30" si="24">_xlfn.IFNA(D4/$AB$1,0)</f>
        <v>0</v>
      </c>
      <c r="AC4" s="32">
        <f t="shared" ref="AC4:AC30" si="25">_xlfn.IFNA(E4/$AB$1,0)</f>
        <v>0</v>
      </c>
      <c r="AD4" s="32">
        <f t="shared" ref="AD4:AD30" si="26">_xlfn.IFNA(F4/$AB$1,0)</f>
        <v>494.23024907928163</v>
      </c>
      <c r="AE4" s="32">
        <f t="shared" ref="AE4:AE30" si="27">_xlfn.IFNA(G4/$AB$1,0)</f>
        <v>801.93473678599662</v>
      </c>
      <c r="AF4" s="32">
        <f t="shared" ref="AF4:AF30" si="28">_xlfn.IFNA(H4/$AB$1,0)</f>
        <v>109.24397543158291</v>
      </c>
      <c r="AG4" s="229">
        <v>55</v>
      </c>
      <c r="AH4" s="229"/>
      <c r="AI4" s="229"/>
      <c r="AJ4" s="229">
        <v>380</v>
      </c>
      <c r="AK4" s="237">
        <v>475</v>
      </c>
      <c r="AL4" s="229">
        <v>70</v>
      </c>
      <c r="AM4" s="219">
        <f t="shared" ref="AM4:AM47" si="29">_xlfn.IFNA(C4/$AN$1,0)</f>
        <v>42.346523302236676</v>
      </c>
      <c r="AN4" s="219">
        <f t="shared" ref="AN4:AN47" si="30">_xlfn.IFNA(D4/$AN$1,0)</f>
        <v>0</v>
      </c>
      <c r="AO4" s="219">
        <f t="shared" ref="AO4:AO47" si="31">_xlfn.IFNA(E4/$AN$1,0)</f>
        <v>0</v>
      </c>
      <c r="AP4" s="219">
        <f t="shared" ref="AP4:AP47" si="32">_xlfn.IFNA(F4/$AN$1,0)</f>
        <v>329.48683271952109</v>
      </c>
      <c r="AQ4" s="219">
        <f t="shared" ref="AQ4:AQ47" si="33">_xlfn.IFNA(G4/$AN$1,0)</f>
        <v>534.62315785733108</v>
      </c>
      <c r="AR4" s="219">
        <f t="shared" ref="AR4:AR47" si="34">_xlfn.IFNA(H4/$AN$1,0)</f>
        <v>72.829316954388602</v>
      </c>
    </row>
    <row r="5" spans="1:47" x14ac:dyDescent="0.2">
      <c r="A5" s="20"/>
      <c r="B5" s="153" t="s">
        <v>415</v>
      </c>
      <c r="C5" s="13">
        <f>Pay!C55</f>
        <v>20.11006006739197</v>
      </c>
      <c r="D5" s="5">
        <v>0</v>
      </c>
      <c r="E5" s="5">
        <v>0</v>
      </c>
      <c r="F5" s="13">
        <f>Pay!D55</f>
        <v>135.33744111154036</v>
      </c>
      <c r="G5" s="13">
        <f>Pay!E55</f>
        <v>229.02897713660425</v>
      </c>
      <c r="H5" s="13">
        <f>Pay!F55</f>
        <v>31.329262142075532</v>
      </c>
      <c r="I5" s="219">
        <f t="shared" si="5"/>
        <v>44.689022371982155</v>
      </c>
      <c r="J5" s="219">
        <f t="shared" si="6"/>
        <v>0</v>
      </c>
      <c r="K5" s="219">
        <f t="shared" si="7"/>
        <v>0</v>
      </c>
      <c r="L5" s="219">
        <f t="shared" si="8"/>
        <v>300.74986913675633</v>
      </c>
      <c r="M5" s="219">
        <f t="shared" si="9"/>
        <v>508.95328252578724</v>
      </c>
      <c r="N5" s="219">
        <f t="shared" si="10"/>
        <v>69.620582537945623</v>
      </c>
      <c r="O5" s="32">
        <f t="shared" si="11"/>
        <v>50.275150168479925</v>
      </c>
      <c r="P5" s="32">
        <f t="shared" si="12"/>
        <v>0</v>
      </c>
      <c r="Q5" s="32">
        <f t="shared" si="13"/>
        <v>0</v>
      </c>
      <c r="R5" s="32">
        <f t="shared" si="14"/>
        <v>338.34360277885088</v>
      </c>
      <c r="S5" s="32">
        <f t="shared" si="15"/>
        <v>572.57244284151056</v>
      </c>
      <c r="T5" s="32">
        <f t="shared" si="16"/>
        <v>78.323155355188831</v>
      </c>
      <c r="U5" s="32">
        <f t="shared" si="17"/>
        <v>57.457314478262774</v>
      </c>
      <c r="V5" s="32">
        <f t="shared" si="18"/>
        <v>0</v>
      </c>
      <c r="W5" s="32">
        <f t="shared" si="19"/>
        <v>0</v>
      </c>
      <c r="X5" s="32">
        <f t="shared" si="20"/>
        <v>386.6784031758296</v>
      </c>
      <c r="Y5" s="32">
        <f t="shared" si="21"/>
        <v>654.36850610458362</v>
      </c>
      <c r="Z5" s="32">
        <f t="shared" si="22"/>
        <v>89.512177548787236</v>
      </c>
      <c r="AA5" s="32">
        <f t="shared" si="23"/>
        <v>67.033533557973243</v>
      </c>
      <c r="AB5" s="32">
        <f t="shared" si="24"/>
        <v>0</v>
      </c>
      <c r="AC5" s="32">
        <f t="shared" si="25"/>
        <v>0</v>
      </c>
      <c r="AD5" s="32">
        <f t="shared" si="26"/>
        <v>451.12480370513452</v>
      </c>
      <c r="AE5" s="32">
        <f t="shared" si="27"/>
        <v>763.42992378868087</v>
      </c>
      <c r="AF5" s="32">
        <f t="shared" si="28"/>
        <v>104.43087380691844</v>
      </c>
      <c r="AG5" s="229">
        <v>55</v>
      </c>
      <c r="AH5" s="229"/>
      <c r="AI5" s="229"/>
      <c r="AJ5" s="229">
        <v>370</v>
      </c>
      <c r="AK5" s="229">
        <v>475</v>
      </c>
      <c r="AL5" s="229">
        <v>70</v>
      </c>
      <c r="AM5" s="219">
        <f t="shared" si="29"/>
        <v>44.689022371982155</v>
      </c>
      <c r="AN5" s="219">
        <f t="shared" si="30"/>
        <v>0</v>
      </c>
      <c r="AO5" s="219">
        <f t="shared" si="31"/>
        <v>0</v>
      </c>
      <c r="AP5" s="219">
        <f t="shared" si="32"/>
        <v>300.74986913675633</v>
      </c>
      <c r="AQ5" s="219">
        <f t="shared" si="33"/>
        <v>508.95328252578724</v>
      </c>
      <c r="AR5" s="219">
        <f t="shared" si="34"/>
        <v>69.620582537945623</v>
      </c>
    </row>
    <row r="6" spans="1:47" x14ac:dyDescent="0.2">
      <c r="A6" s="20"/>
      <c r="B6" s="153" t="s">
        <v>416</v>
      </c>
      <c r="C6" s="13">
        <f>Pay!C57</f>
        <v>18.623235486006504</v>
      </c>
      <c r="D6" s="5">
        <v>0</v>
      </c>
      <c r="E6" s="5">
        <v>0</v>
      </c>
      <c r="F6" s="13">
        <f>Pay!D57</f>
        <v>139.81162147703122</v>
      </c>
      <c r="G6" s="13">
        <f>Pay!E57</f>
        <v>238.53794441242235</v>
      </c>
      <c r="H6" s="13">
        <f>Pay!F57</f>
        <v>32.517883051552793</v>
      </c>
      <c r="I6" s="219">
        <f t="shared" si="5"/>
        <v>41.38496774668112</v>
      </c>
      <c r="J6" s="219">
        <f t="shared" si="6"/>
        <v>0</v>
      </c>
      <c r="K6" s="219">
        <f t="shared" si="7"/>
        <v>0</v>
      </c>
      <c r="L6" s="219">
        <f t="shared" si="8"/>
        <v>310.6924921711805</v>
      </c>
      <c r="M6" s="219">
        <f t="shared" si="9"/>
        <v>530.08432091649411</v>
      </c>
      <c r="N6" s="219">
        <f t="shared" si="10"/>
        <v>72.261962336783981</v>
      </c>
      <c r="O6" s="32">
        <f t="shared" si="11"/>
        <v>46.558088715016254</v>
      </c>
      <c r="P6" s="32">
        <f t="shared" si="12"/>
        <v>0</v>
      </c>
      <c r="Q6" s="32">
        <f t="shared" si="13"/>
        <v>0</v>
      </c>
      <c r="R6" s="32">
        <f t="shared" si="14"/>
        <v>349.52905369257803</v>
      </c>
      <c r="S6" s="32">
        <f t="shared" si="15"/>
        <v>596.34486103105587</v>
      </c>
      <c r="T6" s="32">
        <f t="shared" si="16"/>
        <v>81.29470762888198</v>
      </c>
      <c r="U6" s="32">
        <f t="shared" si="17"/>
        <v>53.209244245732869</v>
      </c>
      <c r="V6" s="32">
        <f t="shared" si="18"/>
        <v>0</v>
      </c>
      <c r="W6" s="32">
        <f t="shared" si="19"/>
        <v>0</v>
      </c>
      <c r="X6" s="32">
        <f t="shared" si="20"/>
        <v>399.46177564866065</v>
      </c>
      <c r="Y6" s="32">
        <f t="shared" si="21"/>
        <v>681.53698403549242</v>
      </c>
      <c r="Z6" s="32">
        <f t="shared" si="22"/>
        <v>92.908237290150851</v>
      </c>
      <c r="AA6" s="32">
        <f t="shared" si="23"/>
        <v>62.077451620021684</v>
      </c>
      <c r="AB6" s="32">
        <f t="shared" si="24"/>
        <v>0</v>
      </c>
      <c r="AC6" s="32">
        <f t="shared" si="25"/>
        <v>0</v>
      </c>
      <c r="AD6" s="32">
        <f t="shared" si="26"/>
        <v>466.03873825677078</v>
      </c>
      <c r="AE6" s="32">
        <f t="shared" si="27"/>
        <v>795.12648137474116</v>
      </c>
      <c r="AF6" s="32">
        <f t="shared" si="28"/>
        <v>108.39294350517598</v>
      </c>
      <c r="AG6" s="229">
        <v>55</v>
      </c>
      <c r="AH6" s="229"/>
      <c r="AI6" s="229"/>
      <c r="AJ6" s="229">
        <v>395</v>
      </c>
      <c r="AK6" s="229">
        <v>495</v>
      </c>
      <c r="AL6" s="229">
        <v>70</v>
      </c>
      <c r="AM6" s="219">
        <f t="shared" si="29"/>
        <v>41.38496774668112</v>
      </c>
      <c r="AN6" s="219">
        <f t="shared" si="30"/>
        <v>0</v>
      </c>
      <c r="AO6" s="219">
        <f t="shared" si="31"/>
        <v>0</v>
      </c>
      <c r="AP6" s="219">
        <f t="shared" si="32"/>
        <v>310.6924921711805</v>
      </c>
      <c r="AQ6" s="219">
        <f t="shared" si="33"/>
        <v>530.08432091649411</v>
      </c>
      <c r="AR6" s="219">
        <f t="shared" si="34"/>
        <v>72.261962336783981</v>
      </c>
    </row>
    <row r="7" spans="1:47" x14ac:dyDescent="0.2">
      <c r="A7" s="20"/>
      <c r="B7" s="153" t="s">
        <v>179</v>
      </c>
      <c r="C7" s="13"/>
      <c r="D7" s="5"/>
      <c r="E7" s="5"/>
      <c r="F7" s="13"/>
      <c r="G7" s="13"/>
      <c r="H7" s="13"/>
      <c r="I7" s="219"/>
      <c r="J7" s="219"/>
      <c r="K7" s="219"/>
      <c r="L7" s="219"/>
      <c r="M7" s="219"/>
      <c r="N7" s="219"/>
      <c r="O7" s="32"/>
      <c r="P7" s="32"/>
      <c r="Q7" s="32"/>
      <c r="R7" s="32"/>
      <c r="S7" s="32"/>
      <c r="T7" s="32"/>
      <c r="U7" s="32"/>
      <c r="V7" s="32"/>
      <c r="W7" s="32"/>
      <c r="X7" s="32"/>
      <c r="Y7" s="32"/>
      <c r="Z7" s="32"/>
      <c r="AA7" s="32"/>
      <c r="AB7" s="32"/>
      <c r="AC7" s="32"/>
      <c r="AD7" s="32"/>
      <c r="AE7" s="32"/>
      <c r="AF7" s="32"/>
      <c r="AG7" s="229"/>
      <c r="AH7" s="229"/>
      <c r="AI7" s="229"/>
      <c r="AJ7" s="229"/>
      <c r="AK7" s="229"/>
      <c r="AL7" s="229"/>
      <c r="AM7" s="219"/>
      <c r="AN7" s="219"/>
      <c r="AO7" s="219"/>
      <c r="AP7" s="219"/>
      <c r="AQ7" s="219"/>
      <c r="AR7" s="219"/>
    </row>
    <row r="8" spans="1:47" x14ac:dyDescent="0.2">
      <c r="A8" s="20"/>
      <c r="B8" s="153" t="s">
        <v>417</v>
      </c>
      <c r="C8" s="13">
        <f>Pay!C58</f>
        <v>0</v>
      </c>
      <c r="D8" s="5">
        <v>0</v>
      </c>
      <c r="E8" s="5">
        <v>0</v>
      </c>
      <c r="F8" s="13">
        <f>Pay!D58</f>
        <v>86.851881230638298</v>
      </c>
      <c r="G8" s="13">
        <f>Pay!E58</f>
        <v>148.87704400176742</v>
      </c>
      <c r="H8" s="13">
        <f>Pay!F58</f>
        <v>21.310270500220927</v>
      </c>
      <c r="I8" s="219">
        <f t="shared" si="5"/>
        <v>0</v>
      </c>
      <c r="J8" s="219">
        <f t="shared" si="6"/>
        <v>0</v>
      </c>
      <c r="K8" s="219">
        <f t="shared" si="7"/>
        <v>0</v>
      </c>
      <c r="L8" s="219">
        <f t="shared" si="8"/>
        <v>193.00418051252956</v>
      </c>
      <c r="M8" s="219">
        <f t="shared" si="9"/>
        <v>330.83787555948317</v>
      </c>
      <c r="N8" s="219">
        <f t="shared" si="10"/>
        <v>47.356156667157613</v>
      </c>
      <c r="O8" s="32">
        <f t="shared" si="11"/>
        <v>0</v>
      </c>
      <c r="P8" s="32">
        <f t="shared" si="12"/>
        <v>0</v>
      </c>
      <c r="Q8" s="32">
        <f t="shared" si="13"/>
        <v>0</v>
      </c>
      <c r="R8" s="32">
        <f t="shared" si="14"/>
        <v>217.12970307659575</v>
      </c>
      <c r="S8" s="32">
        <f t="shared" si="15"/>
        <v>372.1926100044185</v>
      </c>
      <c r="T8" s="32">
        <f t="shared" si="16"/>
        <v>53.275676250552316</v>
      </c>
      <c r="U8" s="32">
        <f t="shared" si="17"/>
        <v>0</v>
      </c>
      <c r="V8" s="32">
        <f t="shared" si="18"/>
        <v>0</v>
      </c>
      <c r="W8" s="32">
        <f t="shared" si="19"/>
        <v>0</v>
      </c>
      <c r="X8" s="32">
        <f t="shared" si="20"/>
        <v>248.14823208753802</v>
      </c>
      <c r="Y8" s="32">
        <f t="shared" si="21"/>
        <v>425.36298286219267</v>
      </c>
      <c r="Z8" s="32">
        <f t="shared" si="22"/>
        <v>60.886487143488367</v>
      </c>
      <c r="AA8" s="32">
        <f t="shared" si="23"/>
        <v>0</v>
      </c>
      <c r="AB8" s="32">
        <f t="shared" si="24"/>
        <v>0</v>
      </c>
      <c r="AC8" s="32">
        <f t="shared" si="25"/>
        <v>0</v>
      </c>
      <c r="AD8" s="32">
        <f t="shared" si="26"/>
        <v>289.50627076879437</v>
      </c>
      <c r="AE8" s="32">
        <f t="shared" si="27"/>
        <v>496.25681333922472</v>
      </c>
      <c r="AF8" s="32">
        <f t="shared" si="28"/>
        <v>71.03423500073643</v>
      </c>
      <c r="AG8" s="229">
        <v>45</v>
      </c>
      <c r="AH8" s="229"/>
      <c r="AI8" s="229"/>
      <c r="AJ8" s="229"/>
      <c r="AK8" s="229"/>
      <c r="AL8" s="229">
        <v>60</v>
      </c>
      <c r="AM8" s="219">
        <f t="shared" si="29"/>
        <v>0</v>
      </c>
      <c r="AN8" s="219">
        <f t="shared" si="30"/>
        <v>0</v>
      </c>
      <c r="AO8" s="219">
        <f t="shared" si="31"/>
        <v>0</v>
      </c>
      <c r="AP8" s="219">
        <f t="shared" si="32"/>
        <v>193.00418051252956</v>
      </c>
      <c r="AQ8" s="219">
        <f t="shared" si="33"/>
        <v>330.83787555948317</v>
      </c>
      <c r="AR8" s="219">
        <f t="shared" si="34"/>
        <v>47.356156667157613</v>
      </c>
    </row>
    <row r="9" spans="1:47" ht="16" thickBot="1" x14ac:dyDescent="0.25">
      <c r="A9" s="107"/>
      <c r="B9" s="154" t="s">
        <v>418</v>
      </c>
      <c r="C9" s="86">
        <f>Pay!C59</f>
        <v>0</v>
      </c>
      <c r="D9" s="100">
        <v>0</v>
      </c>
      <c r="E9" s="100">
        <v>0</v>
      </c>
      <c r="F9" s="86">
        <f>Pay!D59</f>
        <v>115.18762147703123</v>
      </c>
      <c r="G9" s="86">
        <f>Pay!E59</f>
        <v>195.44594441242236</v>
      </c>
      <c r="H9" s="86">
        <f>Pay!F59</f>
        <v>27.131383051552795</v>
      </c>
      <c r="I9" s="219">
        <f t="shared" si="5"/>
        <v>0</v>
      </c>
      <c r="J9" s="219">
        <f t="shared" si="6"/>
        <v>0</v>
      </c>
      <c r="K9" s="219">
        <f t="shared" si="7"/>
        <v>0</v>
      </c>
      <c r="L9" s="219">
        <f t="shared" si="8"/>
        <v>255.97249217118051</v>
      </c>
      <c r="M9" s="219">
        <f t="shared" si="9"/>
        <v>434.32432091649412</v>
      </c>
      <c r="N9" s="219">
        <f t="shared" si="10"/>
        <v>60.291962336783989</v>
      </c>
      <c r="O9" s="32">
        <f t="shared" si="11"/>
        <v>0</v>
      </c>
      <c r="P9" s="32">
        <f t="shared" si="12"/>
        <v>0</v>
      </c>
      <c r="Q9" s="32">
        <f t="shared" si="13"/>
        <v>0</v>
      </c>
      <c r="R9" s="32">
        <f t="shared" si="14"/>
        <v>287.96905369257803</v>
      </c>
      <c r="S9" s="32">
        <f t="shared" si="15"/>
        <v>488.61486103105591</v>
      </c>
      <c r="T9" s="32">
        <f t="shared" si="16"/>
        <v>67.828457628881978</v>
      </c>
      <c r="U9" s="32">
        <f t="shared" si="17"/>
        <v>0</v>
      </c>
      <c r="V9" s="32">
        <f t="shared" si="18"/>
        <v>0</v>
      </c>
      <c r="W9" s="32">
        <f t="shared" si="19"/>
        <v>0</v>
      </c>
      <c r="X9" s="32">
        <f t="shared" si="20"/>
        <v>329.10748993437494</v>
      </c>
      <c r="Y9" s="32">
        <f t="shared" si="21"/>
        <v>558.41698403549253</v>
      </c>
      <c r="Z9" s="32">
        <f t="shared" si="22"/>
        <v>77.51823729015085</v>
      </c>
      <c r="AA9" s="32">
        <f t="shared" si="23"/>
        <v>0</v>
      </c>
      <c r="AB9" s="32">
        <f t="shared" si="24"/>
        <v>0</v>
      </c>
      <c r="AC9" s="32">
        <f t="shared" si="25"/>
        <v>0</v>
      </c>
      <c r="AD9" s="32">
        <f t="shared" si="26"/>
        <v>383.9587382567708</v>
      </c>
      <c r="AE9" s="32">
        <f t="shared" si="27"/>
        <v>651.48648137474129</v>
      </c>
      <c r="AF9" s="32">
        <f t="shared" si="28"/>
        <v>90.437943505175994</v>
      </c>
      <c r="AG9" s="230">
        <v>50</v>
      </c>
      <c r="AH9" s="230"/>
      <c r="AI9" s="230"/>
      <c r="AJ9" s="230"/>
      <c r="AK9" s="230"/>
      <c r="AL9" s="230">
        <v>65</v>
      </c>
      <c r="AM9" s="219">
        <f t="shared" si="29"/>
        <v>0</v>
      </c>
      <c r="AN9" s="219">
        <f t="shared" si="30"/>
        <v>0</v>
      </c>
      <c r="AO9" s="219">
        <f t="shared" si="31"/>
        <v>0</v>
      </c>
      <c r="AP9" s="219">
        <f t="shared" si="32"/>
        <v>255.97249217118051</v>
      </c>
      <c r="AQ9" s="219">
        <f t="shared" si="33"/>
        <v>434.32432091649412</v>
      </c>
      <c r="AR9" s="219">
        <f t="shared" si="34"/>
        <v>60.291962336783989</v>
      </c>
    </row>
    <row r="10" spans="1:47" ht="16" thickTop="1" x14ac:dyDescent="0.2">
      <c r="A10" s="20" t="s">
        <v>400</v>
      </c>
      <c r="B10" s="153" t="s">
        <v>419</v>
      </c>
      <c r="C10" s="5">
        <f>'Pastel Fresas Con Crema'!D12</f>
        <v>0</v>
      </c>
      <c r="D10" s="5">
        <f>'Pastel Fresas Con Crema'!E13</f>
        <v>70.789680987480679</v>
      </c>
      <c r="E10" s="5">
        <f>'Pastel Fresas Con Crema'!F13</f>
        <v>139.62928220176914</v>
      </c>
      <c r="F10" s="5">
        <f>'Pastel Fresas Con Crema'!G13</f>
        <v>197.69975366429614</v>
      </c>
      <c r="G10" s="5">
        <f>'Pastel Fresas Con Crema'!H13</f>
        <v>323.02916883754386</v>
      </c>
      <c r="H10" s="5">
        <f>'Pastel Fresas Con Crema'!C13</f>
        <v>22.577115366429613</v>
      </c>
      <c r="I10" s="219">
        <f t="shared" si="5"/>
        <v>0</v>
      </c>
      <c r="J10" s="219">
        <f>_xlfn.IFNA(D10/$J$1,0)</f>
        <v>157.31040219440152</v>
      </c>
      <c r="K10" s="219">
        <f t="shared" si="7"/>
        <v>310.2872937817092</v>
      </c>
      <c r="L10" s="219">
        <f>_xlfn.IFNA(F10/$J$1,0)</f>
        <v>439.33278592065807</v>
      </c>
      <c r="M10" s="219">
        <f>_xlfn.IFNA(G10/$J$1,0)</f>
        <v>717.84259741676408</v>
      </c>
      <c r="N10" s="219">
        <f t="shared" si="10"/>
        <v>50.171367480954693</v>
      </c>
      <c r="O10" s="32">
        <f t="shared" si="11"/>
        <v>0</v>
      </c>
      <c r="P10" s="32">
        <f t="shared" si="12"/>
        <v>176.97420246870169</v>
      </c>
      <c r="Q10" s="32">
        <f t="shared" si="13"/>
        <v>349.07320550442284</v>
      </c>
      <c r="R10" s="32">
        <f t="shared" si="14"/>
        <v>494.24938416074031</v>
      </c>
      <c r="S10" s="32">
        <f t="shared" si="15"/>
        <v>807.57292209385957</v>
      </c>
      <c r="T10" s="32">
        <f t="shared" si="16"/>
        <v>56.442788416074031</v>
      </c>
      <c r="U10" s="32">
        <f t="shared" si="17"/>
        <v>0</v>
      </c>
      <c r="V10" s="32">
        <f t="shared" si="18"/>
        <v>202.25623139280196</v>
      </c>
      <c r="W10" s="32">
        <f t="shared" si="19"/>
        <v>398.94080629076899</v>
      </c>
      <c r="X10" s="32">
        <f t="shared" si="20"/>
        <v>564.85643904084611</v>
      </c>
      <c r="Y10" s="32">
        <f t="shared" si="21"/>
        <v>922.94048239298252</v>
      </c>
      <c r="Z10" s="32">
        <f t="shared" si="22"/>
        <v>64.506043904084606</v>
      </c>
      <c r="AA10" s="32">
        <f t="shared" si="23"/>
        <v>0</v>
      </c>
      <c r="AB10" s="32">
        <f t="shared" si="24"/>
        <v>235.96560329160226</v>
      </c>
      <c r="AC10" s="32">
        <f t="shared" si="25"/>
        <v>465.43094067256385</v>
      </c>
      <c r="AD10" s="32">
        <f t="shared" si="26"/>
        <v>658.99917888098719</v>
      </c>
      <c r="AE10" s="32">
        <f t="shared" si="27"/>
        <v>1076.7638961251462</v>
      </c>
      <c r="AF10" s="32">
        <f t="shared" si="28"/>
        <v>75.25705122143205</v>
      </c>
      <c r="AG10" s="231"/>
      <c r="AH10" s="231">
        <v>185</v>
      </c>
      <c r="AI10" s="231">
        <v>335</v>
      </c>
      <c r="AJ10" s="238">
        <v>490</v>
      </c>
      <c r="AK10" s="231">
        <v>700</v>
      </c>
      <c r="AL10" s="231">
        <v>70</v>
      </c>
      <c r="AM10" s="219">
        <f t="shared" si="29"/>
        <v>0</v>
      </c>
      <c r="AN10" s="219">
        <f t="shared" si="30"/>
        <v>157.31040219440152</v>
      </c>
      <c r="AO10" s="219">
        <f t="shared" si="31"/>
        <v>310.2872937817092</v>
      </c>
      <c r="AP10" s="219">
        <f t="shared" si="32"/>
        <v>439.33278592065807</v>
      </c>
      <c r="AQ10" s="219">
        <f t="shared" si="33"/>
        <v>717.84259741676408</v>
      </c>
      <c r="AR10" s="219">
        <f t="shared" si="34"/>
        <v>50.171367480954693</v>
      </c>
    </row>
    <row r="11" spans="1:47" x14ac:dyDescent="0.2">
      <c r="B11" s="153" t="s">
        <v>420</v>
      </c>
      <c r="C11" s="5">
        <v>0</v>
      </c>
      <c r="D11" s="5">
        <f>'Pastel 3 Pecados'!E18</f>
        <v>64.125646074693776</v>
      </c>
      <c r="E11" s="5">
        <f>'Pastel 3 Pecados'!F18</f>
        <v>163.26597082490252</v>
      </c>
      <c r="F11" s="5">
        <f>'Pastel 3 Pecados'!G18</f>
        <v>234.88561968375589</v>
      </c>
      <c r="G11" s="5">
        <f>'Pastel 3 Pecados'!H18</f>
        <v>350.57494438357611</v>
      </c>
      <c r="H11" s="5">
        <f>'Pastel 3 Pecados'!C18</f>
        <v>26.295701968375589</v>
      </c>
      <c r="I11" s="219">
        <f t="shared" si="5"/>
        <v>0</v>
      </c>
      <c r="J11" s="219">
        <f t="shared" si="6"/>
        <v>142.50143572154172</v>
      </c>
      <c r="K11" s="219">
        <f t="shared" si="7"/>
        <v>362.81326849978336</v>
      </c>
      <c r="L11" s="219">
        <f t="shared" si="8"/>
        <v>521.96804374167971</v>
      </c>
      <c r="M11" s="219">
        <f t="shared" si="9"/>
        <v>779.05543196350243</v>
      </c>
      <c r="N11" s="219">
        <f t="shared" si="10"/>
        <v>58.434893263056864</v>
      </c>
      <c r="O11" s="32">
        <f t="shared" si="11"/>
        <v>0</v>
      </c>
      <c r="P11" s="32">
        <f t="shared" si="12"/>
        <v>160.31411518673443</v>
      </c>
      <c r="Q11" s="32">
        <f t="shared" si="13"/>
        <v>408.16492706225631</v>
      </c>
      <c r="R11" s="32">
        <f t="shared" si="14"/>
        <v>587.21404920938971</v>
      </c>
      <c r="S11" s="32">
        <f t="shared" si="15"/>
        <v>876.43736095894019</v>
      </c>
      <c r="T11" s="32">
        <f t="shared" si="16"/>
        <v>65.739254920938961</v>
      </c>
      <c r="U11" s="32">
        <f t="shared" si="17"/>
        <v>0</v>
      </c>
      <c r="V11" s="32">
        <f t="shared" si="18"/>
        <v>183.21613164198223</v>
      </c>
      <c r="W11" s="32">
        <f t="shared" si="19"/>
        <v>466.4742023568644</v>
      </c>
      <c r="X11" s="32">
        <f t="shared" si="20"/>
        <v>671.10177052501683</v>
      </c>
      <c r="Y11" s="32">
        <f t="shared" si="21"/>
        <v>1001.642698238789</v>
      </c>
      <c r="Z11" s="32">
        <f t="shared" si="22"/>
        <v>75.130577052501692</v>
      </c>
      <c r="AA11" s="32">
        <f t="shared" si="23"/>
        <v>0</v>
      </c>
      <c r="AB11" s="32">
        <f t="shared" si="24"/>
        <v>213.75215358231259</v>
      </c>
      <c r="AC11" s="32">
        <f t="shared" si="25"/>
        <v>544.21990274967516</v>
      </c>
      <c r="AD11" s="32">
        <f t="shared" si="26"/>
        <v>782.95206561251962</v>
      </c>
      <c r="AE11" s="32">
        <f t="shared" si="27"/>
        <v>1168.5831479452538</v>
      </c>
      <c r="AF11" s="32">
        <f t="shared" si="28"/>
        <v>87.652339894585296</v>
      </c>
      <c r="AG11" s="229"/>
      <c r="AH11" s="231">
        <v>185</v>
      </c>
      <c r="AI11" s="229">
        <v>340</v>
      </c>
      <c r="AJ11" s="229">
        <v>490</v>
      </c>
      <c r="AK11" s="229">
        <v>700</v>
      </c>
      <c r="AL11" s="231">
        <v>70</v>
      </c>
      <c r="AM11" s="219">
        <f t="shared" si="29"/>
        <v>0</v>
      </c>
      <c r="AN11" s="219">
        <f t="shared" si="30"/>
        <v>142.50143572154172</v>
      </c>
      <c r="AO11" s="219">
        <f t="shared" si="31"/>
        <v>362.81326849978336</v>
      </c>
      <c r="AP11" s="219">
        <f t="shared" si="32"/>
        <v>521.96804374167971</v>
      </c>
      <c r="AQ11" s="219">
        <f t="shared" si="33"/>
        <v>779.05543196350243</v>
      </c>
      <c r="AR11" s="219">
        <f t="shared" si="34"/>
        <v>58.434893263056864</v>
      </c>
    </row>
    <row r="12" spans="1:47" x14ac:dyDescent="0.2">
      <c r="B12" s="153" t="s">
        <v>180</v>
      </c>
      <c r="C12" s="5">
        <v>0</v>
      </c>
      <c r="D12" s="5">
        <v>0</v>
      </c>
      <c r="E12" s="5">
        <f>'Pastel Zanahoria'!F12</f>
        <v>151.95678580439059</v>
      </c>
      <c r="F12" s="5">
        <f>'Pastel Zanahoria'!G12</f>
        <v>207.49008460687799</v>
      </c>
      <c r="G12" s="5">
        <f>'Pastel Zanahoria'!H12</f>
        <v>317.43002436145383</v>
      </c>
      <c r="H12" s="5">
        <f>'Pastel Zanahoria'!C12</f>
        <v>23.556148460687798</v>
      </c>
      <c r="I12" s="219">
        <f t="shared" si="5"/>
        <v>0</v>
      </c>
      <c r="J12" s="219">
        <f t="shared" si="6"/>
        <v>0</v>
      </c>
      <c r="K12" s="219">
        <f t="shared" si="7"/>
        <v>337.6817462319791</v>
      </c>
      <c r="L12" s="219">
        <f t="shared" si="8"/>
        <v>461.08907690417328</v>
      </c>
      <c r="M12" s="219">
        <f t="shared" si="9"/>
        <v>705.40005413656411</v>
      </c>
      <c r="N12" s="219">
        <f t="shared" si="10"/>
        <v>52.346996579306214</v>
      </c>
      <c r="O12" s="32">
        <f t="shared" si="11"/>
        <v>0</v>
      </c>
      <c r="P12" s="32">
        <f t="shared" si="12"/>
        <v>0</v>
      </c>
      <c r="Q12" s="32">
        <f t="shared" si="13"/>
        <v>379.89196451097644</v>
      </c>
      <c r="R12" s="32">
        <f t="shared" si="14"/>
        <v>518.72521151719491</v>
      </c>
      <c r="S12" s="32">
        <f t="shared" si="15"/>
        <v>793.57506090363449</v>
      </c>
      <c r="T12" s="32">
        <f t="shared" si="16"/>
        <v>58.890371151719492</v>
      </c>
      <c r="U12" s="32">
        <f t="shared" si="17"/>
        <v>0</v>
      </c>
      <c r="V12" s="32">
        <f t="shared" si="18"/>
        <v>0</v>
      </c>
      <c r="W12" s="32">
        <f t="shared" si="19"/>
        <v>434.16224515540171</v>
      </c>
      <c r="X12" s="32">
        <f t="shared" si="20"/>
        <v>592.8288131625086</v>
      </c>
      <c r="Y12" s="32">
        <f t="shared" si="21"/>
        <v>906.94292674701103</v>
      </c>
      <c r="Z12" s="32">
        <f t="shared" si="22"/>
        <v>67.30328131625086</v>
      </c>
      <c r="AA12" s="32">
        <f t="shared" si="23"/>
        <v>0</v>
      </c>
      <c r="AB12" s="32">
        <f t="shared" si="24"/>
        <v>0</v>
      </c>
      <c r="AC12" s="32">
        <f t="shared" si="25"/>
        <v>506.52261934796866</v>
      </c>
      <c r="AD12" s="32">
        <f t="shared" si="26"/>
        <v>691.63361535625995</v>
      </c>
      <c r="AE12" s="32">
        <f t="shared" si="27"/>
        <v>1058.1000812048462</v>
      </c>
      <c r="AF12" s="32">
        <f t="shared" si="28"/>
        <v>78.520494868959332</v>
      </c>
      <c r="AG12" s="229"/>
      <c r="AH12" s="231"/>
      <c r="AI12" s="229">
        <v>330</v>
      </c>
      <c r="AJ12" s="229">
        <v>440</v>
      </c>
      <c r="AK12" s="229">
        <v>700</v>
      </c>
      <c r="AL12" s="231">
        <v>70</v>
      </c>
      <c r="AM12" s="219">
        <f t="shared" si="29"/>
        <v>0</v>
      </c>
      <c r="AN12" s="219">
        <f t="shared" si="30"/>
        <v>0</v>
      </c>
      <c r="AO12" s="219">
        <f t="shared" si="31"/>
        <v>337.6817462319791</v>
      </c>
      <c r="AP12" s="219">
        <f t="shared" si="32"/>
        <v>461.08907690417328</v>
      </c>
      <c r="AQ12" s="219">
        <f t="shared" si="33"/>
        <v>705.40005413656411</v>
      </c>
      <c r="AR12" s="219">
        <f t="shared" si="34"/>
        <v>52.346996579306214</v>
      </c>
    </row>
    <row r="13" spans="1:47" x14ac:dyDescent="0.2">
      <c r="B13" s="153" t="s">
        <v>421</v>
      </c>
      <c r="C13" s="5">
        <v>0</v>
      </c>
      <c r="D13" s="5">
        <f>'Pastel Chocolate'!E12</f>
        <v>59.756374319030144</v>
      </c>
      <c r="E13" s="5">
        <v>0</v>
      </c>
      <c r="F13" s="5">
        <v>0</v>
      </c>
      <c r="G13" s="5">
        <v>0</v>
      </c>
      <c r="H13" s="5">
        <v>0</v>
      </c>
      <c r="I13" s="219">
        <f t="shared" si="5"/>
        <v>0</v>
      </c>
      <c r="J13" s="219">
        <f t="shared" si="6"/>
        <v>132.79194293117808</v>
      </c>
      <c r="K13" s="219">
        <f t="shared" si="7"/>
        <v>0</v>
      </c>
      <c r="L13" s="219">
        <f t="shared" si="8"/>
        <v>0</v>
      </c>
      <c r="M13" s="219">
        <f t="shared" si="9"/>
        <v>0</v>
      </c>
      <c r="N13" s="219">
        <f t="shared" si="10"/>
        <v>0</v>
      </c>
      <c r="O13" s="32">
        <f t="shared" si="11"/>
        <v>0</v>
      </c>
      <c r="P13" s="32">
        <f t="shared" si="12"/>
        <v>149.39093579757534</v>
      </c>
      <c r="Q13" s="32">
        <f t="shared" si="13"/>
        <v>0</v>
      </c>
      <c r="R13" s="32">
        <f t="shared" si="14"/>
        <v>0</v>
      </c>
      <c r="S13" s="32">
        <f t="shared" si="15"/>
        <v>0</v>
      </c>
      <c r="T13" s="32">
        <f t="shared" si="16"/>
        <v>0</v>
      </c>
      <c r="U13" s="32">
        <f t="shared" si="17"/>
        <v>0</v>
      </c>
      <c r="V13" s="32">
        <f t="shared" si="18"/>
        <v>170.73249805437186</v>
      </c>
      <c r="W13" s="32">
        <f t="shared" si="19"/>
        <v>0</v>
      </c>
      <c r="X13" s="32">
        <f t="shared" si="20"/>
        <v>0</v>
      </c>
      <c r="Y13" s="32">
        <f t="shared" si="21"/>
        <v>0</v>
      </c>
      <c r="Z13" s="32">
        <f t="shared" si="22"/>
        <v>0</v>
      </c>
      <c r="AA13" s="32">
        <f t="shared" si="23"/>
        <v>0</v>
      </c>
      <c r="AB13" s="32">
        <f t="shared" si="24"/>
        <v>199.18791439676716</v>
      </c>
      <c r="AC13" s="32">
        <f t="shared" si="25"/>
        <v>0</v>
      </c>
      <c r="AD13" s="32">
        <f t="shared" si="26"/>
        <v>0</v>
      </c>
      <c r="AE13" s="32">
        <f t="shared" si="27"/>
        <v>0</v>
      </c>
      <c r="AF13" s="32">
        <f t="shared" si="28"/>
        <v>0</v>
      </c>
      <c r="AG13" s="229"/>
      <c r="AH13" s="231"/>
      <c r="AI13" s="229"/>
      <c r="AJ13" s="229"/>
      <c r="AK13" s="229"/>
      <c r="AL13" s="231">
        <v>70</v>
      </c>
      <c r="AM13" s="219">
        <f t="shared" si="29"/>
        <v>0</v>
      </c>
      <c r="AN13" s="219">
        <f t="shared" si="30"/>
        <v>132.79194293117808</v>
      </c>
      <c r="AO13" s="219">
        <f t="shared" si="31"/>
        <v>0</v>
      </c>
      <c r="AP13" s="219">
        <f t="shared" si="32"/>
        <v>0</v>
      </c>
      <c r="AQ13" s="219">
        <f t="shared" si="33"/>
        <v>0</v>
      </c>
      <c r="AR13" s="219">
        <f t="shared" si="34"/>
        <v>0</v>
      </c>
    </row>
    <row r="14" spans="1:47" x14ac:dyDescent="0.2">
      <c r="B14" s="153" t="s">
        <v>422</v>
      </c>
      <c r="C14" s="5">
        <v>0</v>
      </c>
      <c r="D14" s="5">
        <f>'Pastel Crunch'!E14</f>
        <v>80.227256064779255</v>
      </c>
      <c r="E14" s="5">
        <f>'Pastel Crunch'!F14</f>
        <v>166.48930193323253</v>
      </c>
      <c r="F14" s="5">
        <f>'Pastel Crunch'!G14</f>
        <v>242.04423851217277</v>
      </c>
      <c r="G14" s="5">
        <f>'Pastel Crunch'!H14</f>
        <v>338.62657154815975</v>
      </c>
      <c r="H14" s="5">
        <f>'Pastel Crunch'!C14</f>
        <v>27.011563851217279</v>
      </c>
      <c r="I14" s="219">
        <f t="shared" si="5"/>
        <v>0</v>
      </c>
      <c r="J14" s="219">
        <f t="shared" si="6"/>
        <v>178.28279125506501</v>
      </c>
      <c r="K14" s="219">
        <f t="shared" si="7"/>
        <v>369.97622651829448</v>
      </c>
      <c r="L14" s="219">
        <f t="shared" si="8"/>
        <v>537.87608558260615</v>
      </c>
      <c r="M14" s="219">
        <f t="shared" si="9"/>
        <v>752.50349232924384</v>
      </c>
      <c r="N14" s="219">
        <f t="shared" si="10"/>
        <v>60.025697447149504</v>
      </c>
      <c r="O14" s="32">
        <f t="shared" si="11"/>
        <v>0</v>
      </c>
      <c r="P14" s="32">
        <f t="shared" si="12"/>
        <v>200.56814016194812</v>
      </c>
      <c r="Q14" s="32">
        <f t="shared" si="13"/>
        <v>416.22325483308128</v>
      </c>
      <c r="R14" s="32">
        <f t="shared" si="14"/>
        <v>605.11059628043188</v>
      </c>
      <c r="S14" s="32">
        <f t="shared" si="15"/>
        <v>846.56642887039936</v>
      </c>
      <c r="T14" s="32">
        <f t="shared" si="16"/>
        <v>67.528909628043195</v>
      </c>
      <c r="U14" s="32">
        <f t="shared" si="17"/>
        <v>0</v>
      </c>
      <c r="V14" s="32">
        <f t="shared" si="18"/>
        <v>229.22073161365503</v>
      </c>
      <c r="W14" s="32">
        <f t="shared" si="19"/>
        <v>475.68371980923581</v>
      </c>
      <c r="X14" s="32">
        <f t="shared" si="20"/>
        <v>691.55496717763651</v>
      </c>
      <c r="Y14" s="32">
        <f t="shared" si="21"/>
        <v>967.5044901375993</v>
      </c>
      <c r="Z14" s="32">
        <f t="shared" si="22"/>
        <v>77.175896717763663</v>
      </c>
      <c r="AA14" s="32">
        <f t="shared" si="23"/>
        <v>0</v>
      </c>
      <c r="AB14" s="32">
        <f t="shared" si="24"/>
        <v>267.42418688259755</v>
      </c>
      <c r="AC14" s="32">
        <f t="shared" si="25"/>
        <v>554.96433977744175</v>
      </c>
      <c r="AD14" s="32">
        <f t="shared" si="26"/>
        <v>806.81412837390928</v>
      </c>
      <c r="AE14" s="32">
        <f t="shared" si="27"/>
        <v>1128.7552384938658</v>
      </c>
      <c r="AF14" s="32">
        <f t="shared" si="28"/>
        <v>90.03854617072426</v>
      </c>
      <c r="AG14" s="229"/>
      <c r="AH14" s="231">
        <v>185</v>
      </c>
      <c r="AI14" s="229">
        <v>360</v>
      </c>
      <c r="AJ14" s="229">
        <v>490</v>
      </c>
      <c r="AK14" s="229">
        <v>720</v>
      </c>
      <c r="AL14" s="231">
        <v>70</v>
      </c>
      <c r="AM14" s="219">
        <f t="shared" si="29"/>
        <v>0</v>
      </c>
      <c r="AN14" s="219">
        <f t="shared" si="30"/>
        <v>178.28279125506501</v>
      </c>
      <c r="AO14" s="219">
        <f t="shared" si="31"/>
        <v>369.97622651829448</v>
      </c>
      <c r="AP14" s="219">
        <f t="shared" si="32"/>
        <v>537.87608558260615</v>
      </c>
      <c r="AQ14" s="219">
        <f t="shared" si="33"/>
        <v>752.50349232924384</v>
      </c>
      <c r="AR14" s="219">
        <f t="shared" si="34"/>
        <v>60.025697447149504</v>
      </c>
    </row>
    <row r="15" spans="1:47" x14ac:dyDescent="0.2">
      <c r="B15" s="153" t="s">
        <v>423</v>
      </c>
      <c r="C15" s="5">
        <v>0</v>
      </c>
      <c r="D15" s="5">
        <f>'Pastel Snicker''s'!E14</f>
        <v>33.131040509070317</v>
      </c>
      <c r="E15" s="5">
        <f>'Pastel Snicker''s'!F14</f>
        <v>201.96184294061075</v>
      </c>
      <c r="F15" s="5">
        <f>'Pastel Snicker''s'!G14</f>
        <v>281.62808692026692</v>
      </c>
      <c r="G15" s="5">
        <f>'Pastel Snicker''s'!H14</f>
        <v>392.15336417384646</v>
      </c>
      <c r="H15" s="5">
        <f>'Pastel Snicker''s'!C14</f>
        <v>30.969948692026694</v>
      </c>
      <c r="I15" s="219">
        <f t="shared" si="5"/>
        <v>0</v>
      </c>
      <c r="J15" s="219">
        <f t="shared" si="6"/>
        <v>73.6245344646007</v>
      </c>
      <c r="K15" s="219">
        <f t="shared" si="7"/>
        <v>448.80409542357944</v>
      </c>
      <c r="L15" s="219">
        <f t="shared" si="8"/>
        <v>625.84019315614876</v>
      </c>
      <c r="M15" s="219">
        <f t="shared" si="9"/>
        <v>871.45192038632547</v>
      </c>
      <c r="N15" s="219">
        <f t="shared" si="10"/>
        <v>68.822108204503763</v>
      </c>
      <c r="O15" s="32">
        <f t="shared" si="11"/>
        <v>0</v>
      </c>
      <c r="P15" s="32">
        <f t="shared" si="12"/>
        <v>82.827601272675793</v>
      </c>
      <c r="Q15" s="32">
        <f t="shared" si="13"/>
        <v>504.90460735152686</v>
      </c>
      <c r="R15" s="32">
        <f t="shared" si="14"/>
        <v>704.07021730066731</v>
      </c>
      <c r="S15" s="32">
        <f t="shared" si="15"/>
        <v>980.38341043461605</v>
      </c>
      <c r="T15" s="32">
        <f t="shared" si="16"/>
        <v>77.424871730066727</v>
      </c>
      <c r="U15" s="32">
        <f t="shared" si="17"/>
        <v>0</v>
      </c>
      <c r="V15" s="32">
        <f t="shared" si="18"/>
        <v>94.660115740200908</v>
      </c>
      <c r="W15" s="32">
        <f t="shared" si="19"/>
        <v>577.03383697317361</v>
      </c>
      <c r="X15" s="32">
        <f t="shared" si="20"/>
        <v>804.65167691504837</v>
      </c>
      <c r="Y15" s="32">
        <f t="shared" si="21"/>
        <v>1120.4381833538471</v>
      </c>
      <c r="Z15" s="32">
        <f t="shared" si="22"/>
        <v>88.485567691504841</v>
      </c>
      <c r="AA15" s="32">
        <f t="shared" si="23"/>
        <v>0</v>
      </c>
      <c r="AB15" s="32">
        <f t="shared" si="24"/>
        <v>110.43680169690106</v>
      </c>
      <c r="AC15" s="32">
        <f t="shared" si="25"/>
        <v>673.20614313536919</v>
      </c>
      <c r="AD15" s="32">
        <f t="shared" si="26"/>
        <v>938.76028973422308</v>
      </c>
      <c r="AE15" s="32">
        <f t="shared" si="27"/>
        <v>1307.1778805794881</v>
      </c>
      <c r="AF15" s="32">
        <f t="shared" si="28"/>
        <v>103.23316230675564</v>
      </c>
      <c r="AG15" s="229"/>
      <c r="AH15" s="231"/>
      <c r="AI15" s="229">
        <v>400</v>
      </c>
      <c r="AJ15" s="229">
        <v>500</v>
      </c>
      <c r="AK15" s="229">
        <v>750</v>
      </c>
      <c r="AL15" s="231">
        <v>70</v>
      </c>
      <c r="AM15" s="219">
        <f t="shared" si="29"/>
        <v>0</v>
      </c>
      <c r="AN15" s="219">
        <f t="shared" si="30"/>
        <v>73.6245344646007</v>
      </c>
      <c r="AO15" s="219">
        <f t="shared" si="31"/>
        <v>448.80409542357944</v>
      </c>
      <c r="AP15" s="219">
        <f t="shared" si="32"/>
        <v>625.84019315614876</v>
      </c>
      <c r="AQ15" s="219">
        <f t="shared" si="33"/>
        <v>871.45192038632547</v>
      </c>
      <c r="AR15" s="219">
        <f t="shared" si="34"/>
        <v>68.822108204503763</v>
      </c>
    </row>
    <row r="16" spans="1:47" x14ac:dyDescent="0.2">
      <c r="B16" s="153" t="s">
        <v>188</v>
      </c>
      <c r="C16" s="5">
        <v>0</v>
      </c>
      <c r="D16" s="5">
        <f>'Pastel Vainilla'!E12</f>
        <v>0</v>
      </c>
      <c r="E16" s="5">
        <f>'Pastel Vainilla'!F12</f>
        <v>146.85589945825851</v>
      </c>
      <c r="F16" s="5">
        <f>'Pastel Vainilla'!G12</f>
        <v>205.71167553175775</v>
      </c>
      <c r="G16" s="5">
        <f>'Pastel Vainilla'!H12</f>
        <v>330.05251031426832</v>
      </c>
      <c r="H16" s="5">
        <f>'Pastel Vainilla'!C12</f>
        <v>17.49272994582585</v>
      </c>
      <c r="I16" s="219">
        <f t="shared" si="5"/>
        <v>0</v>
      </c>
      <c r="J16" s="219">
        <f t="shared" si="6"/>
        <v>0</v>
      </c>
      <c r="K16" s="219">
        <f t="shared" si="7"/>
        <v>326.34644324057444</v>
      </c>
      <c r="L16" s="219">
        <f t="shared" si="8"/>
        <v>457.13705673723945</v>
      </c>
      <c r="M16" s="219">
        <f t="shared" si="9"/>
        <v>733.45002292059621</v>
      </c>
      <c r="N16" s="219">
        <f t="shared" si="10"/>
        <v>38.872733212946336</v>
      </c>
      <c r="O16" s="32">
        <f t="shared" si="11"/>
        <v>0</v>
      </c>
      <c r="P16" s="32">
        <f t="shared" si="12"/>
        <v>0</v>
      </c>
      <c r="Q16" s="32">
        <f t="shared" si="13"/>
        <v>367.13974864564625</v>
      </c>
      <c r="R16" s="32">
        <f t="shared" si="14"/>
        <v>514.27918882939434</v>
      </c>
      <c r="S16" s="32">
        <f t="shared" si="15"/>
        <v>825.13127578567071</v>
      </c>
      <c r="T16" s="32">
        <f t="shared" si="16"/>
        <v>43.731824864564622</v>
      </c>
      <c r="U16" s="32">
        <f t="shared" si="17"/>
        <v>0</v>
      </c>
      <c r="V16" s="32">
        <f t="shared" si="18"/>
        <v>0</v>
      </c>
      <c r="W16" s="32">
        <f t="shared" si="19"/>
        <v>419.58828416645292</v>
      </c>
      <c r="X16" s="32">
        <f t="shared" si="20"/>
        <v>587.74764437645069</v>
      </c>
      <c r="Y16" s="32">
        <f t="shared" si="21"/>
        <v>943.00717232648094</v>
      </c>
      <c r="Z16" s="32">
        <f t="shared" si="22"/>
        <v>49.979228416645292</v>
      </c>
      <c r="AA16" s="32">
        <f t="shared" si="23"/>
        <v>0</v>
      </c>
      <c r="AB16" s="32">
        <f t="shared" si="24"/>
        <v>0</v>
      </c>
      <c r="AC16" s="32">
        <f t="shared" si="25"/>
        <v>489.51966486086172</v>
      </c>
      <c r="AD16" s="32">
        <f t="shared" si="26"/>
        <v>685.7055851058592</v>
      </c>
      <c r="AE16" s="32">
        <f t="shared" si="27"/>
        <v>1100.1750343808944</v>
      </c>
      <c r="AF16" s="32">
        <f t="shared" si="28"/>
        <v>58.309099819419501</v>
      </c>
      <c r="AG16" s="229"/>
      <c r="AH16" s="231"/>
      <c r="AI16" s="229">
        <v>340</v>
      </c>
      <c r="AJ16" s="229">
        <v>450</v>
      </c>
      <c r="AK16" s="229">
        <v>710</v>
      </c>
      <c r="AL16" s="231">
        <v>70</v>
      </c>
      <c r="AM16" s="219">
        <f t="shared" si="29"/>
        <v>0</v>
      </c>
      <c r="AN16" s="219">
        <f t="shared" si="30"/>
        <v>0</v>
      </c>
      <c r="AO16" s="219">
        <f t="shared" si="31"/>
        <v>326.34644324057444</v>
      </c>
      <c r="AP16" s="219">
        <f t="shared" si="32"/>
        <v>457.13705673723945</v>
      </c>
      <c r="AQ16" s="219">
        <f t="shared" si="33"/>
        <v>733.45002292059621</v>
      </c>
      <c r="AR16" s="219">
        <f t="shared" si="34"/>
        <v>38.872733212946336</v>
      </c>
    </row>
    <row r="17" spans="1:44" x14ac:dyDescent="0.2">
      <c r="B17" s="153" t="s">
        <v>403</v>
      </c>
      <c r="C17" s="5">
        <f>'Pastel 3 Leches'!F13</f>
        <v>31.019912493340254</v>
      </c>
      <c r="D17" s="5">
        <v>0</v>
      </c>
      <c r="E17" s="5">
        <v>0</v>
      </c>
      <c r="F17" s="5">
        <f>'Pastel 3 Leches'!D13</f>
        <v>176.71614862042193</v>
      </c>
      <c r="G17" s="5">
        <f>'Pastel 3 Leches'!E13</f>
        <v>401.53172146155487</v>
      </c>
      <c r="H17" s="5">
        <f>'Pastel 3 Leches'!C13</f>
        <v>32.259831436736988</v>
      </c>
      <c r="I17" s="219">
        <f t="shared" si="5"/>
        <v>68.933138874089451</v>
      </c>
      <c r="J17" s="219">
        <f t="shared" si="6"/>
        <v>0</v>
      </c>
      <c r="K17" s="219">
        <f t="shared" si="7"/>
        <v>0</v>
      </c>
      <c r="L17" s="219">
        <f t="shared" si="8"/>
        <v>392.70255248982653</v>
      </c>
      <c r="M17" s="219">
        <f t="shared" si="9"/>
        <v>892.2927143590108</v>
      </c>
      <c r="N17" s="219">
        <f t="shared" si="10"/>
        <v>71.688514303859975</v>
      </c>
      <c r="O17" s="32">
        <f t="shared" si="11"/>
        <v>77.549781233350629</v>
      </c>
      <c r="P17" s="32">
        <f t="shared" si="12"/>
        <v>0</v>
      </c>
      <c r="Q17" s="32">
        <f t="shared" si="13"/>
        <v>0</v>
      </c>
      <c r="R17" s="32">
        <f t="shared" si="14"/>
        <v>441.79037155105482</v>
      </c>
      <c r="S17" s="32">
        <f t="shared" si="15"/>
        <v>1003.8293036538871</v>
      </c>
      <c r="T17" s="32">
        <f t="shared" si="16"/>
        <v>80.64957859184247</v>
      </c>
      <c r="U17" s="32">
        <f t="shared" si="17"/>
        <v>88.628321409543588</v>
      </c>
      <c r="V17" s="32">
        <f t="shared" si="18"/>
        <v>0</v>
      </c>
      <c r="W17" s="32">
        <f t="shared" si="19"/>
        <v>0</v>
      </c>
      <c r="X17" s="32">
        <f t="shared" si="20"/>
        <v>504.9032817726341</v>
      </c>
      <c r="Y17" s="32">
        <f t="shared" si="21"/>
        <v>1147.2334898901568</v>
      </c>
      <c r="Z17" s="32">
        <f t="shared" si="22"/>
        <v>92.170946962105688</v>
      </c>
      <c r="AA17" s="32">
        <f t="shared" si="23"/>
        <v>103.39970831113418</v>
      </c>
      <c r="AB17" s="32">
        <f t="shared" si="24"/>
        <v>0</v>
      </c>
      <c r="AC17" s="32">
        <f t="shared" si="25"/>
        <v>0</v>
      </c>
      <c r="AD17" s="32">
        <f t="shared" si="26"/>
        <v>589.0538287347398</v>
      </c>
      <c r="AE17" s="32">
        <f t="shared" si="27"/>
        <v>1338.4390715385164</v>
      </c>
      <c r="AF17" s="32">
        <f t="shared" si="28"/>
        <v>107.53277145578997</v>
      </c>
      <c r="AG17" s="229"/>
      <c r="AH17" s="231"/>
      <c r="AI17" s="229">
        <f ca="1">-AI17</f>
        <v>0</v>
      </c>
      <c r="AJ17" s="229">
        <v>435</v>
      </c>
      <c r="AK17" s="229">
        <f ca="1">-AK17</f>
        <v>0</v>
      </c>
      <c r="AL17" s="231">
        <v>75</v>
      </c>
      <c r="AM17" s="219">
        <f t="shared" si="29"/>
        <v>68.933138874089451</v>
      </c>
      <c r="AN17" s="219">
        <f t="shared" si="30"/>
        <v>0</v>
      </c>
      <c r="AO17" s="219">
        <f t="shared" si="31"/>
        <v>0</v>
      </c>
      <c r="AP17" s="219">
        <f t="shared" si="32"/>
        <v>392.70255248982653</v>
      </c>
      <c r="AQ17" s="219">
        <f t="shared" si="33"/>
        <v>892.2927143590108</v>
      </c>
      <c r="AR17" s="219">
        <f t="shared" si="34"/>
        <v>71.688514303859975</v>
      </c>
    </row>
    <row r="18" spans="1:44" x14ac:dyDescent="0.2">
      <c r="B18" s="153" t="s">
        <v>424</v>
      </c>
      <c r="C18" s="5">
        <f>'Pastel 3 Leches Lotus'!F14</f>
        <v>41.388219918636409</v>
      </c>
      <c r="D18" s="5"/>
      <c r="E18" s="5"/>
      <c r="F18" s="5">
        <f>'Pastel 3 Leches Lotus'!D14</f>
        <v>188.12780582343345</v>
      </c>
      <c r="G18" s="5">
        <f>'Pastel 3 Leches Lotus'!E14</f>
        <v>504.65497069404626</v>
      </c>
      <c r="H18" s="5">
        <f>'Pastel 3 Leches Lotus'!C14</f>
        <v>34.161774303905574</v>
      </c>
      <c r="I18" s="219">
        <f t="shared" si="5"/>
        <v>91.973822041414238</v>
      </c>
      <c r="J18" s="219">
        <f t="shared" si="6"/>
        <v>0</v>
      </c>
      <c r="K18" s="219">
        <f t="shared" si="7"/>
        <v>0</v>
      </c>
      <c r="L18" s="219">
        <f t="shared" si="8"/>
        <v>418.06179071874101</v>
      </c>
      <c r="M18" s="219">
        <f t="shared" si="9"/>
        <v>1121.4554904312138</v>
      </c>
      <c r="N18" s="219">
        <f t="shared" si="10"/>
        <v>75.91505400867905</v>
      </c>
      <c r="O18" s="32">
        <f t="shared" si="11"/>
        <v>103.47054979659102</v>
      </c>
      <c r="P18" s="32">
        <f t="shared" si="12"/>
        <v>0</v>
      </c>
      <c r="Q18" s="32">
        <f t="shared" si="13"/>
        <v>0</v>
      </c>
      <c r="R18" s="32">
        <f t="shared" si="14"/>
        <v>470.31951455858359</v>
      </c>
      <c r="S18" s="32">
        <f t="shared" si="15"/>
        <v>1261.6374267351155</v>
      </c>
      <c r="T18" s="32">
        <f t="shared" si="16"/>
        <v>85.404435759763928</v>
      </c>
      <c r="U18" s="32">
        <f t="shared" si="17"/>
        <v>118.25205691038975</v>
      </c>
      <c r="V18" s="32">
        <f t="shared" si="18"/>
        <v>0</v>
      </c>
      <c r="W18" s="32">
        <f t="shared" si="19"/>
        <v>0</v>
      </c>
      <c r="X18" s="32">
        <f t="shared" si="20"/>
        <v>537.50801663838126</v>
      </c>
      <c r="Y18" s="32">
        <f t="shared" si="21"/>
        <v>1441.8713448401322</v>
      </c>
      <c r="Z18" s="32">
        <f t="shared" si="22"/>
        <v>97.605069439730215</v>
      </c>
      <c r="AA18" s="32">
        <f t="shared" si="23"/>
        <v>137.96073306212136</v>
      </c>
      <c r="AB18" s="32">
        <f t="shared" si="24"/>
        <v>0</v>
      </c>
      <c r="AC18" s="32">
        <f t="shared" si="25"/>
        <v>0</v>
      </c>
      <c r="AD18" s="32">
        <f t="shared" si="26"/>
        <v>627.09268607811157</v>
      </c>
      <c r="AE18" s="32">
        <f t="shared" si="27"/>
        <v>1682.183235646821</v>
      </c>
      <c r="AF18" s="32">
        <f t="shared" si="28"/>
        <v>113.87258101301859</v>
      </c>
      <c r="AG18" s="229"/>
      <c r="AH18" s="231"/>
      <c r="AI18" s="229">
        <f ca="1">-AI18</f>
        <v>0</v>
      </c>
      <c r="AJ18" s="229">
        <v>480</v>
      </c>
      <c r="AK18" s="229">
        <f ca="1">-AK18</f>
        <v>0</v>
      </c>
      <c r="AL18" s="231">
        <v>80</v>
      </c>
      <c r="AM18" s="219">
        <f t="shared" si="29"/>
        <v>91.973822041414238</v>
      </c>
      <c r="AN18" s="219">
        <f t="shared" si="30"/>
        <v>0</v>
      </c>
      <c r="AO18" s="219">
        <f t="shared" si="31"/>
        <v>0</v>
      </c>
      <c r="AP18" s="219">
        <f t="shared" si="32"/>
        <v>418.06179071874101</v>
      </c>
      <c r="AQ18" s="219">
        <f t="shared" si="33"/>
        <v>1121.4554904312138</v>
      </c>
      <c r="AR18" s="219">
        <f t="shared" si="34"/>
        <v>75.91505400867905</v>
      </c>
    </row>
    <row r="19" spans="1:44" ht="16" thickBot="1" x14ac:dyDescent="0.25">
      <c r="A19" s="98"/>
      <c r="B19" s="154" t="s">
        <v>425</v>
      </c>
      <c r="C19" s="86">
        <f>'Resumen Costos'!C19</f>
        <v>22.945849526384077</v>
      </c>
      <c r="D19" s="100">
        <f>'Resumen Costos'!D19</f>
        <v>0</v>
      </c>
      <c r="E19" s="100">
        <f>'Resumen Costos'!E19</f>
        <v>0</v>
      </c>
      <c r="F19" s="100">
        <f>'Resumen Costos'!F19</f>
        <v>241.70638507785463</v>
      </c>
      <c r="G19" s="100">
        <f>'Resumen Costos'!G19</f>
        <v>0</v>
      </c>
      <c r="H19" s="100">
        <f>'Resumen Costos'!H19</f>
        <v>0</v>
      </c>
      <c r="I19" s="219">
        <f t="shared" si="5"/>
        <v>50.990776725297948</v>
      </c>
      <c r="J19" s="219">
        <f t="shared" si="6"/>
        <v>0</v>
      </c>
      <c r="K19" s="219">
        <f t="shared" si="7"/>
        <v>0</v>
      </c>
      <c r="L19" s="219">
        <f t="shared" si="8"/>
        <v>537.12530017301026</v>
      </c>
      <c r="M19" s="219">
        <f t="shared" si="9"/>
        <v>0</v>
      </c>
      <c r="N19" s="219">
        <f t="shared" si="10"/>
        <v>0</v>
      </c>
      <c r="O19" s="32">
        <f t="shared" si="11"/>
        <v>57.364623815960186</v>
      </c>
      <c r="P19" s="32">
        <f t="shared" si="12"/>
        <v>0</v>
      </c>
      <c r="Q19" s="32">
        <f t="shared" si="13"/>
        <v>0</v>
      </c>
      <c r="R19" s="32">
        <f t="shared" si="14"/>
        <v>604.26596269463653</v>
      </c>
      <c r="S19" s="32">
        <f t="shared" si="15"/>
        <v>0</v>
      </c>
      <c r="T19" s="32">
        <f t="shared" si="16"/>
        <v>0</v>
      </c>
      <c r="U19" s="32">
        <f t="shared" si="17"/>
        <v>65.559570075383078</v>
      </c>
      <c r="V19" s="32">
        <f t="shared" si="18"/>
        <v>0</v>
      </c>
      <c r="W19" s="32">
        <f t="shared" si="19"/>
        <v>0</v>
      </c>
      <c r="X19" s="32">
        <f t="shared" si="20"/>
        <v>690.5896716510133</v>
      </c>
      <c r="Y19" s="32">
        <f t="shared" si="21"/>
        <v>0</v>
      </c>
      <c r="Z19" s="32">
        <f t="shared" si="22"/>
        <v>0</v>
      </c>
      <c r="AA19" s="32">
        <f t="shared" si="23"/>
        <v>76.486165087946929</v>
      </c>
      <c r="AB19" s="32">
        <f t="shared" si="24"/>
        <v>0</v>
      </c>
      <c r="AC19" s="32">
        <f t="shared" si="25"/>
        <v>0</v>
      </c>
      <c r="AD19" s="32">
        <f t="shared" si="26"/>
        <v>805.68795025951545</v>
      </c>
      <c r="AE19" s="32">
        <f t="shared" si="27"/>
        <v>0</v>
      </c>
      <c r="AF19" s="32">
        <f t="shared" si="28"/>
        <v>0</v>
      </c>
      <c r="AG19" s="230">
        <v>55</v>
      </c>
      <c r="AH19" s="230"/>
      <c r="AI19" s="230"/>
      <c r="AJ19" s="230"/>
      <c r="AK19" s="230"/>
      <c r="AL19" s="230"/>
      <c r="AM19" s="219">
        <f t="shared" si="29"/>
        <v>50.990776725297948</v>
      </c>
      <c r="AN19" s="219">
        <f t="shared" si="30"/>
        <v>0</v>
      </c>
      <c r="AO19" s="219">
        <f t="shared" si="31"/>
        <v>0</v>
      </c>
      <c r="AP19" s="219">
        <f t="shared" si="32"/>
        <v>537.12530017301026</v>
      </c>
      <c r="AQ19" s="219">
        <f t="shared" si="33"/>
        <v>0</v>
      </c>
      <c r="AR19" s="219">
        <f t="shared" si="34"/>
        <v>0</v>
      </c>
    </row>
    <row r="20" spans="1:44" ht="16" thickTop="1" x14ac:dyDescent="0.2">
      <c r="A20" s="20" t="s">
        <v>426</v>
      </c>
      <c r="B20" s="153" t="s">
        <v>427</v>
      </c>
      <c r="D20" s="13">
        <f>Vasos!D24</f>
        <v>17.018194862990953</v>
      </c>
      <c r="E20" s="13">
        <f>Vasos!C24</f>
        <v>32.405495132705255</v>
      </c>
      <c r="F20" s="13">
        <f>Vasos!E24</f>
        <v>39.465763355897352</v>
      </c>
      <c r="G20" s="13">
        <f>Vasos!F24</f>
        <v>43.147206562548078</v>
      </c>
      <c r="I20" s="219">
        <f t="shared" si="5"/>
        <v>0</v>
      </c>
      <c r="J20" s="219">
        <f t="shared" si="6"/>
        <v>37.818210806646562</v>
      </c>
      <c r="K20" s="219">
        <f t="shared" si="7"/>
        <v>72.012211406011673</v>
      </c>
      <c r="L20" s="219">
        <f t="shared" si="8"/>
        <v>87.701696346438553</v>
      </c>
      <c r="M20" s="219">
        <f>_xlfn.IFNA(G20/$J$1,0)</f>
        <v>95.882681250106842</v>
      </c>
      <c r="N20" s="219">
        <f t="shared" si="10"/>
        <v>0</v>
      </c>
      <c r="O20" s="32">
        <f t="shared" si="11"/>
        <v>0</v>
      </c>
      <c r="P20" s="32">
        <f t="shared" si="12"/>
        <v>42.545487157477382</v>
      </c>
      <c r="Q20" s="32">
        <f t="shared" si="13"/>
        <v>81.013737831763137</v>
      </c>
      <c r="R20" s="32">
        <f t="shared" si="14"/>
        <v>98.664408389743372</v>
      </c>
      <c r="S20" s="32">
        <f t="shared" si="15"/>
        <v>107.86801640637019</v>
      </c>
      <c r="T20" s="32">
        <f t="shared" si="16"/>
        <v>0</v>
      </c>
      <c r="U20" s="32">
        <f t="shared" si="17"/>
        <v>0</v>
      </c>
      <c r="V20" s="32">
        <f t="shared" si="18"/>
        <v>48.623413894259869</v>
      </c>
      <c r="W20" s="32">
        <f t="shared" si="19"/>
        <v>92.587128950586447</v>
      </c>
      <c r="X20" s="32">
        <f t="shared" si="20"/>
        <v>112.75932387399244</v>
      </c>
      <c r="Y20" s="32">
        <f t="shared" si="21"/>
        <v>123.27773303585165</v>
      </c>
      <c r="Z20" s="32">
        <f t="shared" si="22"/>
        <v>0</v>
      </c>
      <c r="AA20" s="32">
        <f t="shared" si="23"/>
        <v>0</v>
      </c>
      <c r="AB20" s="32">
        <f t="shared" si="24"/>
        <v>56.727316209969842</v>
      </c>
      <c r="AC20" s="32">
        <f t="shared" si="25"/>
        <v>108.01831710901752</v>
      </c>
      <c r="AD20" s="32">
        <f t="shared" si="26"/>
        <v>131.55254451965786</v>
      </c>
      <c r="AE20" s="32">
        <f t="shared" si="27"/>
        <v>143.82402187516027</v>
      </c>
      <c r="AF20" s="32">
        <f t="shared" si="28"/>
        <v>0</v>
      </c>
      <c r="AG20" s="231"/>
      <c r="AH20" s="238">
        <v>60</v>
      </c>
      <c r="AI20" s="231">
        <v>90</v>
      </c>
      <c r="AJ20" s="231">
        <v>105</v>
      </c>
      <c r="AK20" s="231">
        <v>115</v>
      </c>
      <c r="AL20" s="231"/>
      <c r="AM20" s="219">
        <f t="shared" si="29"/>
        <v>0</v>
      </c>
      <c r="AN20" s="219">
        <f t="shared" si="30"/>
        <v>37.818210806646562</v>
      </c>
      <c r="AO20" s="219">
        <f t="shared" si="31"/>
        <v>72.012211406011673</v>
      </c>
      <c r="AP20" s="219">
        <f t="shared" si="32"/>
        <v>87.701696346438553</v>
      </c>
      <c r="AQ20" s="219">
        <f t="shared" si="33"/>
        <v>95.882681250106842</v>
      </c>
      <c r="AR20" s="219">
        <f t="shared" si="34"/>
        <v>0</v>
      </c>
    </row>
    <row r="21" spans="1:44" x14ac:dyDescent="0.2">
      <c r="B21" s="153" t="s">
        <v>428</v>
      </c>
      <c r="D21" s="13">
        <f>Vasos!D25</f>
        <v>29.233566388767347</v>
      </c>
      <c r="G21" s="13">
        <f>Vasos!C25</f>
        <v>44.620866658481646</v>
      </c>
      <c r="I21" s="219">
        <f t="shared" si="5"/>
        <v>0</v>
      </c>
      <c r="J21" s="219">
        <f t="shared" si="6"/>
        <v>64.96348086392743</v>
      </c>
      <c r="K21" s="219">
        <f t="shared" si="7"/>
        <v>0</v>
      </c>
      <c r="L21" s="219">
        <f t="shared" si="8"/>
        <v>0</v>
      </c>
      <c r="M21" s="219">
        <f t="shared" si="9"/>
        <v>99.157481463292541</v>
      </c>
      <c r="N21" s="219">
        <f t="shared" si="10"/>
        <v>0</v>
      </c>
      <c r="O21" s="32">
        <f t="shared" si="11"/>
        <v>0</v>
      </c>
      <c r="P21" s="32">
        <f t="shared" si="12"/>
        <v>73.083915971918358</v>
      </c>
      <c r="Q21" s="32">
        <f t="shared" si="13"/>
        <v>0</v>
      </c>
      <c r="R21" s="32">
        <f t="shared" si="14"/>
        <v>0</v>
      </c>
      <c r="S21" s="32">
        <f t="shared" si="15"/>
        <v>111.55216664620411</v>
      </c>
      <c r="T21" s="32">
        <f t="shared" si="16"/>
        <v>0</v>
      </c>
      <c r="U21" s="32">
        <f t="shared" si="17"/>
        <v>0</v>
      </c>
      <c r="V21" s="32">
        <f t="shared" si="18"/>
        <v>83.524475396478138</v>
      </c>
      <c r="W21" s="32">
        <f t="shared" si="19"/>
        <v>0</v>
      </c>
      <c r="X21" s="32">
        <f t="shared" si="20"/>
        <v>0</v>
      </c>
      <c r="Y21" s="32">
        <f t="shared" si="21"/>
        <v>127.48819045280472</v>
      </c>
      <c r="Z21" s="32">
        <f t="shared" si="22"/>
        <v>0</v>
      </c>
      <c r="AA21" s="32">
        <f t="shared" si="23"/>
        <v>0</v>
      </c>
      <c r="AB21" s="32">
        <f t="shared" si="24"/>
        <v>97.445221295891159</v>
      </c>
      <c r="AC21" s="32">
        <f t="shared" si="25"/>
        <v>0</v>
      </c>
      <c r="AD21" s="32">
        <f t="shared" si="26"/>
        <v>0</v>
      </c>
      <c r="AE21" s="32">
        <f t="shared" si="27"/>
        <v>148.73622219493882</v>
      </c>
      <c r="AF21" s="32">
        <f t="shared" si="28"/>
        <v>0</v>
      </c>
      <c r="AG21" s="229"/>
      <c r="AH21" s="229"/>
      <c r="AI21" s="229"/>
      <c r="AJ21" s="229"/>
      <c r="AK21" s="229"/>
      <c r="AL21" s="229"/>
      <c r="AM21" s="219">
        <f t="shared" si="29"/>
        <v>0</v>
      </c>
      <c r="AN21" s="219">
        <f t="shared" si="30"/>
        <v>64.96348086392743</v>
      </c>
      <c r="AO21" s="219">
        <f t="shared" si="31"/>
        <v>0</v>
      </c>
      <c r="AP21" s="219">
        <f t="shared" si="32"/>
        <v>0</v>
      </c>
      <c r="AQ21" s="219">
        <f t="shared" si="33"/>
        <v>99.157481463292541</v>
      </c>
      <c r="AR21" s="219">
        <f t="shared" si="34"/>
        <v>0</v>
      </c>
    </row>
    <row r="22" spans="1:44" ht="16" thickBot="1" x14ac:dyDescent="0.25">
      <c r="A22" s="98"/>
      <c r="B22" s="154" t="s">
        <v>429</v>
      </c>
      <c r="C22" s="98"/>
      <c r="D22" s="86">
        <f>Vasos!D26</f>
        <v>9.8099053300280463</v>
      </c>
      <c r="E22" s="98"/>
      <c r="F22" s="98"/>
      <c r="G22" s="86">
        <f>Vasos!C26</f>
        <v>17.087879875159075</v>
      </c>
      <c r="H22" s="98"/>
      <c r="I22" s="219">
        <f t="shared" si="5"/>
        <v>0</v>
      </c>
      <c r="J22" s="219">
        <f t="shared" si="6"/>
        <v>21.799789622284546</v>
      </c>
      <c r="K22" s="219">
        <f t="shared" si="7"/>
        <v>0</v>
      </c>
      <c r="L22" s="219">
        <f t="shared" si="8"/>
        <v>0</v>
      </c>
      <c r="M22" s="219">
        <f t="shared" si="9"/>
        <v>37.973066389242391</v>
      </c>
      <c r="N22" s="219">
        <f t="shared" si="10"/>
        <v>0</v>
      </c>
      <c r="O22" s="32">
        <f t="shared" si="11"/>
        <v>0</v>
      </c>
      <c r="P22" s="32">
        <f t="shared" si="12"/>
        <v>24.524763325070115</v>
      </c>
      <c r="Q22" s="32">
        <f t="shared" si="13"/>
        <v>0</v>
      </c>
      <c r="R22" s="32">
        <f t="shared" si="14"/>
        <v>0</v>
      </c>
      <c r="S22" s="32">
        <f t="shared" si="15"/>
        <v>42.719699687897688</v>
      </c>
      <c r="T22" s="32">
        <f t="shared" si="16"/>
        <v>0</v>
      </c>
      <c r="U22" s="32">
        <f t="shared" si="17"/>
        <v>0</v>
      </c>
      <c r="V22" s="32">
        <f t="shared" si="18"/>
        <v>28.028300942937278</v>
      </c>
      <c r="W22" s="32">
        <f t="shared" si="19"/>
        <v>0</v>
      </c>
      <c r="X22" s="32">
        <f t="shared" si="20"/>
        <v>0</v>
      </c>
      <c r="Y22" s="32">
        <f t="shared" si="21"/>
        <v>48.822513929025931</v>
      </c>
      <c r="Z22" s="32">
        <f t="shared" si="22"/>
        <v>0</v>
      </c>
      <c r="AA22" s="32">
        <f t="shared" si="23"/>
        <v>0</v>
      </c>
      <c r="AB22" s="32">
        <f t="shared" si="24"/>
        <v>32.699684433426825</v>
      </c>
      <c r="AC22" s="32">
        <f t="shared" si="25"/>
        <v>0</v>
      </c>
      <c r="AD22" s="32">
        <f t="shared" si="26"/>
        <v>0</v>
      </c>
      <c r="AE22" s="32">
        <f t="shared" si="27"/>
        <v>56.959599583863586</v>
      </c>
      <c r="AF22" s="32">
        <f t="shared" si="28"/>
        <v>0</v>
      </c>
      <c r="AG22" s="230"/>
      <c r="AH22" s="230"/>
      <c r="AI22" s="230"/>
      <c r="AJ22" s="230"/>
      <c r="AK22" s="230"/>
      <c r="AL22" s="230"/>
      <c r="AM22" s="219">
        <f t="shared" si="29"/>
        <v>0</v>
      </c>
      <c r="AN22" s="219">
        <f t="shared" si="30"/>
        <v>21.799789622284546</v>
      </c>
      <c r="AO22" s="219">
        <f t="shared" si="31"/>
        <v>0</v>
      </c>
      <c r="AP22" s="219">
        <f t="shared" si="32"/>
        <v>0</v>
      </c>
      <c r="AQ22" s="219">
        <f t="shared" si="33"/>
        <v>37.973066389242391</v>
      </c>
      <c r="AR22" s="219">
        <f t="shared" si="34"/>
        <v>0</v>
      </c>
    </row>
    <row r="23" spans="1:44" ht="16" thickTop="1" x14ac:dyDescent="0.2">
      <c r="A23" s="20" t="s">
        <v>374</v>
      </c>
      <c r="B23" s="153" t="s">
        <v>421</v>
      </c>
      <c r="C23" s="5">
        <f>Bollos!D14</f>
        <v>14.435269071148177</v>
      </c>
      <c r="D23" s="5">
        <f>'Pastel Fresas Con Crema'!E24</f>
        <v>0</v>
      </c>
      <c r="E23" s="5">
        <f>'Pastel Fresas Con Crema'!F24</f>
        <v>0</v>
      </c>
      <c r="F23" s="5">
        <f>'Pastel Fresas Con Crema'!G24</f>
        <v>0</v>
      </c>
      <c r="G23" s="5">
        <f>'Pastel Fresas Con Crema'!H24</f>
        <v>0</v>
      </c>
      <c r="H23" s="5">
        <f>'Pastel Fresas Con Crema'!C24</f>
        <v>0</v>
      </c>
      <c r="I23" s="219">
        <f>_xlfn.IFNA(C23/$J$1,0)</f>
        <v>32.078375713662616</v>
      </c>
      <c r="J23" s="219">
        <f t="shared" si="6"/>
        <v>0</v>
      </c>
      <c r="K23" s="219">
        <f t="shared" si="7"/>
        <v>0</v>
      </c>
      <c r="L23" s="219">
        <f t="shared" si="8"/>
        <v>0</v>
      </c>
      <c r="M23" s="219">
        <f t="shared" si="9"/>
        <v>0</v>
      </c>
      <c r="N23" s="219">
        <f t="shared" si="10"/>
        <v>0</v>
      </c>
      <c r="O23" s="32">
        <f t="shared" si="11"/>
        <v>36.088172677870439</v>
      </c>
      <c r="P23" s="32">
        <f t="shared" si="12"/>
        <v>0</v>
      </c>
      <c r="Q23" s="32">
        <f t="shared" si="13"/>
        <v>0</v>
      </c>
      <c r="R23" s="32">
        <f t="shared" si="14"/>
        <v>0</v>
      </c>
      <c r="S23" s="32">
        <f t="shared" si="15"/>
        <v>0</v>
      </c>
      <c r="T23" s="32">
        <f t="shared" si="16"/>
        <v>0</v>
      </c>
      <c r="U23" s="32">
        <f t="shared" si="17"/>
        <v>41.24362591756622</v>
      </c>
      <c r="V23" s="32">
        <f t="shared" si="18"/>
        <v>0</v>
      </c>
      <c r="W23" s="32">
        <f t="shared" si="19"/>
        <v>0</v>
      </c>
      <c r="X23" s="32">
        <f t="shared" si="20"/>
        <v>0</v>
      </c>
      <c r="Y23" s="32">
        <f t="shared" si="21"/>
        <v>0</v>
      </c>
      <c r="Z23" s="32">
        <f t="shared" si="22"/>
        <v>0</v>
      </c>
      <c r="AA23" s="32">
        <f t="shared" si="23"/>
        <v>48.117563570493928</v>
      </c>
      <c r="AB23" s="32">
        <f t="shared" si="24"/>
        <v>0</v>
      </c>
      <c r="AC23" s="32">
        <f t="shared" si="25"/>
        <v>0</v>
      </c>
      <c r="AD23" s="32">
        <f t="shared" si="26"/>
        <v>0</v>
      </c>
      <c r="AE23" s="32">
        <f t="shared" si="27"/>
        <v>0</v>
      </c>
      <c r="AF23" s="32">
        <f t="shared" si="28"/>
        <v>0</v>
      </c>
      <c r="AG23" s="231">
        <v>36</v>
      </c>
      <c r="AH23" s="231"/>
      <c r="AI23" s="231"/>
      <c r="AJ23" s="231"/>
      <c r="AK23" s="231"/>
      <c r="AL23" s="231"/>
      <c r="AM23" s="219">
        <f t="shared" si="29"/>
        <v>32.078375713662616</v>
      </c>
      <c r="AN23" s="219">
        <f t="shared" si="30"/>
        <v>0</v>
      </c>
      <c r="AO23" s="219">
        <f t="shared" si="31"/>
        <v>0</v>
      </c>
      <c r="AP23" s="219">
        <f t="shared" si="32"/>
        <v>0</v>
      </c>
      <c r="AQ23" s="219">
        <f t="shared" si="33"/>
        <v>0</v>
      </c>
      <c r="AR23" s="219">
        <f t="shared" si="34"/>
        <v>0</v>
      </c>
    </row>
    <row r="24" spans="1:44" x14ac:dyDescent="0.2">
      <c r="B24" s="153" t="s">
        <v>183</v>
      </c>
      <c r="C24" s="5">
        <f>Bollos!C14</f>
        <v>12.485674791346026</v>
      </c>
      <c r="D24" s="5"/>
      <c r="E24" s="5"/>
      <c r="F24" s="5"/>
      <c r="G24" s="5"/>
      <c r="H24" s="5"/>
      <c r="I24" s="219">
        <f>_xlfn.IFNA(C24/$J$1,0)</f>
        <v>27.745943980768946</v>
      </c>
      <c r="J24" s="219">
        <f t="shared" si="6"/>
        <v>0</v>
      </c>
      <c r="K24" s="219">
        <f t="shared" si="7"/>
        <v>0</v>
      </c>
      <c r="L24" s="219">
        <f t="shared" si="8"/>
        <v>0</v>
      </c>
      <c r="M24" s="219">
        <f t="shared" si="9"/>
        <v>0</v>
      </c>
      <c r="N24" s="219">
        <f t="shared" si="10"/>
        <v>0</v>
      </c>
      <c r="O24" s="32">
        <f t="shared" si="11"/>
        <v>31.214186978365063</v>
      </c>
      <c r="P24" s="32">
        <f t="shared" si="12"/>
        <v>0</v>
      </c>
      <c r="Q24" s="32">
        <f t="shared" si="13"/>
        <v>0</v>
      </c>
      <c r="R24" s="32">
        <f t="shared" si="14"/>
        <v>0</v>
      </c>
      <c r="S24" s="32">
        <f t="shared" si="15"/>
        <v>0</v>
      </c>
      <c r="T24" s="32">
        <f t="shared" si="16"/>
        <v>0</v>
      </c>
      <c r="U24" s="32">
        <f t="shared" si="17"/>
        <v>35.673356546702934</v>
      </c>
      <c r="V24" s="32">
        <f t="shared" si="18"/>
        <v>0</v>
      </c>
      <c r="W24" s="32">
        <f t="shared" si="19"/>
        <v>0</v>
      </c>
      <c r="X24" s="32">
        <f t="shared" si="20"/>
        <v>0</v>
      </c>
      <c r="Y24" s="32">
        <f t="shared" si="21"/>
        <v>0</v>
      </c>
      <c r="Z24" s="32">
        <f t="shared" si="22"/>
        <v>0</v>
      </c>
      <c r="AA24" s="32">
        <f t="shared" si="23"/>
        <v>41.61891597115342</v>
      </c>
      <c r="AB24" s="32">
        <f t="shared" si="24"/>
        <v>0</v>
      </c>
      <c r="AC24" s="32">
        <f t="shared" si="25"/>
        <v>0</v>
      </c>
      <c r="AD24" s="32">
        <f t="shared" si="26"/>
        <v>0</v>
      </c>
      <c r="AE24" s="32">
        <f t="shared" si="27"/>
        <v>0</v>
      </c>
      <c r="AF24" s="32">
        <f t="shared" si="28"/>
        <v>0</v>
      </c>
      <c r="AG24" s="229">
        <v>34</v>
      </c>
      <c r="AH24" s="229"/>
      <c r="AI24" s="229"/>
      <c r="AJ24" s="229"/>
      <c r="AK24" s="229"/>
      <c r="AL24" s="229"/>
      <c r="AM24" s="219">
        <f t="shared" si="29"/>
        <v>27.745943980768946</v>
      </c>
      <c r="AN24" s="219">
        <f t="shared" si="30"/>
        <v>0</v>
      </c>
      <c r="AO24" s="219">
        <f t="shared" si="31"/>
        <v>0</v>
      </c>
      <c r="AP24" s="219">
        <f t="shared" si="32"/>
        <v>0</v>
      </c>
      <c r="AQ24" s="219">
        <f t="shared" si="33"/>
        <v>0</v>
      </c>
      <c r="AR24" s="219">
        <f t="shared" si="34"/>
        <v>0</v>
      </c>
    </row>
    <row r="25" spans="1:44" x14ac:dyDescent="0.2">
      <c r="B25" s="153" t="s">
        <v>180</v>
      </c>
      <c r="C25" s="5">
        <f>Bollos!F14</f>
        <v>12.928453259392407</v>
      </c>
      <c r="D25" s="5">
        <v>0</v>
      </c>
      <c r="E25" s="5">
        <f>'Pastel Zanahoria'!F21</f>
        <v>0</v>
      </c>
      <c r="F25" s="5">
        <f>'Pastel Zanahoria'!G21</f>
        <v>0</v>
      </c>
      <c r="G25" s="5">
        <f>'Pastel Zanahoria'!H21</f>
        <v>0</v>
      </c>
      <c r="H25" s="5">
        <f>'Pastel Zanahoria'!C21</f>
        <v>0</v>
      </c>
      <c r="I25" s="219">
        <f t="shared" si="5"/>
        <v>28.729896131983125</v>
      </c>
      <c r="J25" s="219">
        <f t="shared" si="6"/>
        <v>0</v>
      </c>
      <c r="K25" s="219">
        <f t="shared" si="7"/>
        <v>0</v>
      </c>
      <c r="L25" s="219">
        <f t="shared" si="8"/>
        <v>0</v>
      </c>
      <c r="M25" s="219">
        <f t="shared" si="9"/>
        <v>0</v>
      </c>
      <c r="N25" s="219">
        <f t="shared" si="10"/>
        <v>0</v>
      </c>
      <c r="O25" s="32">
        <f t="shared" si="11"/>
        <v>32.321133148481017</v>
      </c>
      <c r="P25" s="32">
        <f t="shared" si="12"/>
        <v>0</v>
      </c>
      <c r="Q25" s="32">
        <f t="shared" si="13"/>
        <v>0</v>
      </c>
      <c r="R25" s="32">
        <f t="shared" si="14"/>
        <v>0</v>
      </c>
      <c r="S25" s="32">
        <f t="shared" si="15"/>
        <v>0</v>
      </c>
      <c r="T25" s="32">
        <f t="shared" si="16"/>
        <v>0</v>
      </c>
      <c r="U25" s="32">
        <f t="shared" si="17"/>
        <v>36.93843788397831</v>
      </c>
      <c r="V25" s="32">
        <f t="shared" si="18"/>
        <v>0</v>
      </c>
      <c r="W25" s="32">
        <f t="shared" si="19"/>
        <v>0</v>
      </c>
      <c r="X25" s="32">
        <f t="shared" si="20"/>
        <v>0</v>
      </c>
      <c r="Y25" s="32">
        <f t="shared" si="21"/>
        <v>0</v>
      </c>
      <c r="Z25" s="32">
        <f t="shared" si="22"/>
        <v>0</v>
      </c>
      <c r="AA25" s="32">
        <f t="shared" si="23"/>
        <v>43.094844197974695</v>
      </c>
      <c r="AB25" s="32">
        <f t="shared" si="24"/>
        <v>0</v>
      </c>
      <c r="AC25" s="32">
        <f t="shared" si="25"/>
        <v>0</v>
      </c>
      <c r="AD25" s="32">
        <f t="shared" si="26"/>
        <v>0</v>
      </c>
      <c r="AE25" s="32">
        <f t="shared" si="27"/>
        <v>0</v>
      </c>
      <c r="AF25" s="32">
        <f t="shared" si="28"/>
        <v>0</v>
      </c>
      <c r="AG25" s="229">
        <v>27</v>
      </c>
      <c r="AH25" s="229"/>
      <c r="AI25" s="229"/>
      <c r="AJ25" s="229"/>
      <c r="AK25" s="229"/>
      <c r="AL25" s="229"/>
      <c r="AM25" s="219">
        <f t="shared" si="29"/>
        <v>28.729896131983125</v>
      </c>
      <c r="AN25" s="219">
        <f t="shared" si="30"/>
        <v>0</v>
      </c>
      <c r="AO25" s="219">
        <f t="shared" si="31"/>
        <v>0</v>
      </c>
      <c r="AP25" s="219">
        <f t="shared" si="32"/>
        <v>0</v>
      </c>
      <c r="AQ25" s="219">
        <f t="shared" si="33"/>
        <v>0</v>
      </c>
      <c r="AR25" s="219">
        <f t="shared" si="34"/>
        <v>0</v>
      </c>
    </row>
    <row r="26" spans="1:44" x14ac:dyDescent="0.2">
      <c r="B26" s="153" t="s">
        <v>430</v>
      </c>
      <c r="C26" s="5">
        <f>Bollos!E14</f>
        <v>13.970432842663369</v>
      </c>
      <c r="D26" s="5">
        <f>'Pastel Chocolate'!E24</f>
        <v>0</v>
      </c>
      <c r="E26" s="5">
        <f>'Pastel Chocolate'!F24</f>
        <v>0</v>
      </c>
      <c r="F26" s="5">
        <f>'Pastel Chocolate'!G24</f>
        <v>0</v>
      </c>
      <c r="G26" s="5">
        <f>'Pastel Chocolate'!H24</f>
        <v>0</v>
      </c>
      <c r="H26" s="5">
        <f>'Pastel Chocolate'!C24</f>
        <v>0</v>
      </c>
      <c r="I26" s="219">
        <f t="shared" si="5"/>
        <v>31.045406317029709</v>
      </c>
      <c r="J26" s="219">
        <f t="shared" si="6"/>
        <v>0</v>
      </c>
      <c r="K26" s="219">
        <f t="shared" si="7"/>
        <v>0</v>
      </c>
      <c r="L26" s="219">
        <f t="shared" si="8"/>
        <v>0</v>
      </c>
      <c r="M26" s="219">
        <f t="shared" si="9"/>
        <v>0</v>
      </c>
      <c r="N26" s="219">
        <f t="shared" si="10"/>
        <v>0</v>
      </c>
      <c r="O26" s="32">
        <f t="shared" si="11"/>
        <v>34.92608210665842</v>
      </c>
      <c r="P26" s="32">
        <f t="shared" si="12"/>
        <v>0</v>
      </c>
      <c r="Q26" s="32">
        <f t="shared" si="13"/>
        <v>0</v>
      </c>
      <c r="R26" s="32">
        <f t="shared" si="14"/>
        <v>0</v>
      </c>
      <c r="S26" s="32">
        <f t="shared" si="15"/>
        <v>0</v>
      </c>
      <c r="T26" s="32">
        <f t="shared" si="16"/>
        <v>0</v>
      </c>
      <c r="U26" s="32">
        <f t="shared" si="17"/>
        <v>39.915522407609629</v>
      </c>
      <c r="V26" s="32">
        <f t="shared" si="18"/>
        <v>0</v>
      </c>
      <c r="W26" s="32">
        <f t="shared" si="19"/>
        <v>0</v>
      </c>
      <c r="X26" s="32">
        <f t="shared" si="20"/>
        <v>0</v>
      </c>
      <c r="Y26" s="32">
        <f t="shared" si="21"/>
        <v>0</v>
      </c>
      <c r="Z26" s="32">
        <f t="shared" si="22"/>
        <v>0</v>
      </c>
      <c r="AA26" s="32">
        <f t="shared" si="23"/>
        <v>46.568109475544567</v>
      </c>
      <c r="AB26" s="32">
        <f t="shared" si="24"/>
        <v>0</v>
      </c>
      <c r="AC26" s="32">
        <f t="shared" si="25"/>
        <v>0</v>
      </c>
      <c r="AD26" s="32">
        <f t="shared" si="26"/>
        <v>0</v>
      </c>
      <c r="AE26" s="32">
        <f t="shared" si="27"/>
        <v>0</v>
      </c>
      <c r="AF26" s="32">
        <f t="shared" si="28"/>
        <v>0</v>
      </c>
      <c r="AG26" s="229">
        <v>30</v>
      </c>
      <c r="AH26" s="229"/>
      <c r="AI26" s="229"/>
      <c r="AJ26" s="229"/>
      <c r="AK26" s="229"/>
      <c r="AL26" s="229"/>
      <c r="AM26" s="219">
        <f t="shared" si="29"/>
        <v>31.045406317029709</v>
      </c>
      <c r="AN26" s="219">
        <f t="shared" si="30"/>
        <v>0</v>
      </c>
      <c r="AO26" s="219">
        <f t="shared" si="31"/>
        <v>0</v>
      </c>
      <c r="AP26" s="219">
        <f t="shared" si="32"/>
        <v>0</v>
      </c>
      <c r="AQ26" s="219">
        <f t="shared" si="33"/>
        <v>0</v>
      </c>
      <c r="AR26" s="219">
        <f t="shared" si="34"/>
        <v>0</v>
      </c>
    </row>
    <row r="27" spans="1:44" ht="16" thickBot="1" x14ac:dyDescent="0.25">
      <c r="A27" s="98"/>
      <c r="B27" s="154" t="s">
        <v>431</v>
      </c>
      <c r="C27" s="100">
        <f>Bollos!G14</f>
        <v>20.155525330746912</v>
      </c>
      <c r="D27" s="100">
        <v>0</v>
      </c>
      <c r="E27" s="100">
        <v>0</v>
      </c>
      <c r="F27" s="100">
        <v>0</v>
      </c>
      <c r="G27" s="100">
        <v>0</v>
      </c>
      <c r="H27" s="100">
        <v>0</v>
      </c>
      <c r="I27" s="219">
        <f>_xlfn.IFNA(C27/$J$1,0)</f>
        <v>44.790056290548691</v>
      </c>
      <c r="J27" s="219">
        <f t="shared" si="6"/>
        <v>0</v>
      </c>
      <c r="K27" s="219">
        <f>_xlfn.IFNA(E27/$J$1,0)</f>
        <v>0</v>
      </c>
      <c r="L27" s="219">
        <f t="shared" si="8"/>
        <v>0</v>
      </c>
      <c r="M27" s="219">
        <f t="shared" si="9"/>
        <v>0</v>
      </c>
      <c r="N27" s="219">
        <f t="shared" si="10"/>
        <v>0</v>
      </c>
      <c r="O27" s="32">
        <f t="shared" si="11"/>
        <v>50.388813326867279</v>
      </c>
      <c r="P27" s="32">
        <f t="shared" si="12"/>
        <v>0</v>
      </c>
      <c r="Q27" s="32">
        <f t="shared" si="13"/>
        <v>0</v>
      </c>
      <c r="R27" s="32">
        <f t="shared" si="14"/>
        <v>0</v>
      </c>
      <c r="S27" s="32">
        <f t="shared" si="15"/>
        <v>0</v>
      </c>
      <c r="T27" s="32">
        <f t="shared" si="16"/>
        <v>0</v>
      </c>
      <c r="U27" s="32">
        <f t="shared" si="17"/>
        <v>57.587215230705468</v>
      </c>
      <c r="V27" s="32">
        <f t="shared" si="18"/>
        <v>0</v>
      </c>
      <c r="W27" s="32">
        <f t="shared" si="19"/>
        <v>0</v>
      </c>
      <c r="X27" s="32">
        <f t="shared" si="20"/>
        <v>0</v>
      </c>
      <c r="Y27" s="32">
        <f t="shared" si="21"/>
        <v>0</v>
      </c>
      <c r="Z27" s="32">
        <f t="shared" si="22"/>
        <v>0</v>
      </c>
      <c r="AA27" s="32">
        <f t="shared" si="23"/>
        <v>67.185084435823043</v>
      </c>
      <c r="AB27" s="32">
        <f t="shared" si="24"/>
        <v>0</v>
      </c>
      <c r="AC27" s="32">
        <f t="shared" si="25"/>
        <v>0</v>
      </c>
      <c r="AD27" s="32">
        <f t="shared" si="26"/>
        <v>0</v>
      </c>
      <c r="AE27" s="32">
        <f t="shared" si="27"/>
        <v>0</v>
      </c>
      <c r="AF27" s="32">
        <f t="shared" si="28"/>
        <v>0</v>
      </c>
      <c r="AG27" s="230">
        <v>39</v>
      </c>
      <c r="AH27" s="230"/>
      <c r="AI27" s="230"/>
      <c r="AJ27" s="230"/>
      <c r="AK27" s="230"/>
      <c r="AL27" s="230"/>
      <c r="AM27" s="219">
        <f t="shared" si="29"/>
        <v>44.790056290548691</v>
      </c>
      <c r="AN27" s="219">
        <f t="shared" si="30"/>
        <v>0</v>
      </c>
      <c r="AO27" s="219">
        <f t="shared" si="31"/>
        <v>0</v>
      </c>
      <c r="AP27" s="219">
        <f t="shared" si="32"/>
        <v>0</v>
      </c>
      <c r="AQ27" s="219">
        <f t="shared" si="33"/>
        <v>0</v>
      </c>
      <c r="AR27" s="219">
        <f t="shared" si="34"/>
        <v>0</v>
      </c>
    </row>
    <row r="28" spans="1:44" ht="16" thickTop="1" x14ac:dyDescent="0.2">
      <c r="A28" s="20" t="s">
        <v>432</v>
      </c>
      <c r="B28" s="153" t="s">
        <v>431</v>
      </c>
      <c r="C28" s="5">
        <f>'Resumen Costos'!C28</f>
        <v>60.994829745107296</v>
      </c>
      <c r="D28" s="5">
        <f>'Resumen Costos'!D28</f>
        <v>0</v>
      </c>
      <c r="E28" s="5">
        <f>'Resumen Costos'!E28</f>
        <v>205.30522584153161</v>
      </c>
      <c r="F28" s="5">
        <f>'Resumen Costos'!F28</f>
        <v>319.64718955886985</v>
      </c>
      <c r="G28" s="5">
        <f>'Resumen Costos'!G28</f>
        <v>0</v>
      </c>
      <c r="H28" s="5">
        <f>'Resumen Costos'!H28</f>
        <v>0</v>
      </c>
      <c r="I28" s="219">
        <f t="shared" si="5"/>
        <v>135.54406610023844</v>
      </c>
      <c r="J28" s="219">
        <f t="shared" si="6"/>
        <v>0</v>
      </c>
      <c r="K28" s="219">
        <f t="shared" si="7"/>
        <v>456.23383520340354</v>
      </c>
      <c r="L28" s="219">
        <f t="shared" si="8"/>
        <v>710.32708790859965</v>
      </c>
      <c r="M28" s="219">
        <f t="shared" si="9"/>
        <v>0</v>
      </c>
      <c r="N28" s="219">
        <f t="shared" si="10"/>
        <v>0</v>
      </c>
      <c r="O28" s="32">
        <f t="shared" si="11"/>
        <v>152.48707436276823</v>
      </c>
      <c r="P28" s="32">
        <f t="shared" si="12"/>
        <v>0</v>
      </c>
      <c r="Q28" s="32">
        <f t="shared" si="13"/>
        <v>513.26306460382898</v>
      </c>
      <c r="R28" s="32">
        <f t="shared" si="14"/>
        <v>799.11797389717458</v>
      </c>
      <c r="S28" s="32">
        <f t="shared" si="15"/>
        <v>0</v>
      </c>
      <c r="T28" s="32">
        <f t="shared" si="16"/>
        <v>0</v>
      </c>
      <c r="U28" s="32">
        <f t="shared" si="17"/>
        <v>174.270942128878</v>
      </c>
      <c r="V28" s="32">
        <f t="shared" si="18"/>
        <v>0</v>
      </c>
      <c r="W28" s="32">
        <f t="shared" si="19"/>
        <v>586.5863595472332</v>
      </c>
      <c r="X28" s="32">
        <f t="shared" si="20"/>
        <v>913.27768445391393</v>
      </c>
      <c r="Y28" s="32">
        <f t="shared" si="21"/>
        <v>0</v>
      </c>
      <c r="Z28" s="32">
        <f t="shared" si="22"/>
        <v>0</v>
      </c>
      <c r="AA28" s="32">
        <f t="shared" si="23"/>
        <v>203.31609915035767</v>
      </c>
      <c r="AB28" s="32">
        <f t="shared" si="24"/>
        <v>0</v>
      </c>
      <c r="AC28" s="32">
        <f t="shared" si="25"/>
        <v>684.35075280510534</v>
      </c>
      <c r="AD28" s="32">
        <f t="shared" si="26"/>
        <v>1065.4906318628996</v>
      </c>
      <c r="AE28" s="32">
        <f t="shared" si="27"/>
        <v>0</v>
      </c>
      <c r="AF28" s="32">
        <f t="shared" si="28"/>
        <v>0</v>
      </c>
      <c r="AG28" s="231">
        <v>135</v>
      </c>
      <c r="AH28" s="231"/>
      <c r="AI28" s="231"/>
      <c r="AJ28" s="231">
        <v>650</v>
      </c>
      <c r="AK28" s="231"/>
      <c r="AL28" s="231"/>
      <c r="AM28" s="219">
        <f t="shared" si="29"/>
        <v>135.54406610023844</v>
      </c>
      <c r="AN28" s="219">
        <f t="shared" si="30"/>
        <v>0</v>
      </c>
      <c r="AO28" s="219">
        <f t="shared" si="31"/>
        <v>456.23383520340354</v>
      </c>
      <c r="AP28" s="219">
        <f t="shared" si="32"/>
        <v>710.32708790859965</v>
      </c>
      <c r="AQ28" s="219">
        <f t="shared" si="33"/>
        <v>0</v>
      </c>
      <c r="AR28" s="219">
        <f t="shared" si="34"/>
        <v>0</v>
      </c>
    </row>
    <row r="29" spans="1:44" x14ac:dyDescent="0.2">
      <c r="B29" s="153" t="s">
        <v>433</v>
      </c>
      <c r="C29" s="5">
        <f>'Resumen Costos'!C29</f>
        <v>52.683416907688198</v>
      </c>
      <c r="D29" s="5">
        <f>'Resumen Costos'!D29</f>
        <v>0</v>
      </c>
      <c r="E29" s="5">
        <f>'Resumen Costos'!E29</f>
        <v>182.33088219376373</v>
      </c>
      <c r="F29" s="5">
        <f>'Resumen Costos'!F29</f>
        <v>254.16219228183817</v>
      </c>
      <c r="G29" s="5">
        <f>'Resumen Costos'!G29</f>
        <v>0</v>
      </c>
      <c r="H29" s="5">
        <f>'Resumen Costos'!H29</f>
        <v>0</v>
      </c>
      <c r="I29" s="219">
        <f t="shared" si="5"/>
        <v>117.07425979486266</v>
      </c>
      <c r="J29" s="219">
        <f t="shared" si="6"/>
        <v>0</v>
      </c>
      <c r="K29" s="219">
        <f t="shared" si="7"/>
        <v>405.1797382083638</v>
      </c>
      <c r="L29" s="219">
        <f t="shared" si="8"/>
        <v>564.80487173741813</v>
      </c>
      <c r="M29" s="219">
        <f t="shared" si="9"/>
        <v>0</v>
      </c>
      <c r="N29" s="219">
        <f t="shared" si="10"/>
        <v>0</v>
      </c>
      <c r="O29" s="32">
        <f t="shared" si="11"/>
        <v>131.70854226922049</v>
      </c>
      <c r="P29" s="32">
        <f t="shared" si="12"/>
        <v>0</v>
      </c>
      <c r="Q29" s="32">
        <f t="shared" si="13"/>
        <v>455.82720548440932</v>
      </c>
      <c r="R29" s="32">
        <f t="shared" si="14"/>
        <v>635.40548070459545</v>
      </c>
      <c r="S29" s="32">
        <f t="shared" si="15"/>
        <v>0</v>
      </c>
      <c r="T29" s="32">
        <f t="shared" si="16"/>
        <v>0</v>
      </c>
      <c r="U29" s="32">
        <f t="shared" si="17"/>
        <v>150.52404830768057</v>
      </c>
      <c r="V29" s="32">
        <f t="shared" si="18"/>
        <v>0</v>
      </c>
      <c r="W29" s="32">
        <f t="shared" si="19"/>
        <v>520.94537769646786</v>
      </c>
      <c r="X29" s="32">
        <f t="shared" si="20"/>
        <v>726.17769223382345</v>
      </c>
      <c r="Y29" s="32">
        <f t="shared" si="21"/>
        <v>0</v>
      </c>
      <c r="Z29" s="32">
        <f t="shared" si="22"/>
        <v>0</v>
      </c>
      <c r="AA29" s="32">
        <f t="shared" si="23"/>
        <v>175.61138969229401</v>
      </c>
      <c r="AB29" s="32">
        <f t="shared" si="24"/>
        <v>0</v>
      </c>
      <c r="AC29" s="32">
        <f t="shared" si="25"/>
        <v>607.76960731254576</v>
      </c>
      <c r="AD29" s="32">
        <f t="shared" si="26"/>
        <v>847.2073076061273</v>
      </c>
      <c r="AE29" s="32">
        <f t="shared" si="27"/>
        <v>0</v>
      </c>
      <c r="AF29" s="32">
        <f t="shared" si="28"/>
        <v>0</v>
      </c>
      <c r="AG29" s="229">
        <v>125</v>
      </c>
      <c r="AH29" s="229"/>
      <c r="AI29" s="229"/>
      <c r="AJ29" s="229">
        <v>590</v>
      </c>
      <c r="AK29" s="229"/>
      <c r="AL29" s="229"/>
      <c r="AM29" s="219">
        <f t="shared" si="29"/>
        <v>117.07425979486266</v>
      </c>
      <c r="AN29" s="219">
        <f t="shared" si="30"/>
        <v>0</v>
      </c>
      <c r="AO29" s="219">
        <f t="shared" si="31"/>
        <v>405.1797382083638</v>
      </c>
      <c r="AP29" s="219">
        <f t="shared" si="32"/>
        <v>564.80487173741813</v>
      </c>
      <c r="AQ29" s="219">
        <f t="shared" si="33"/>
        <v>0</v>
      </c>
      <c r="AR29" s="219">
        <f t="shared" si="34"/>
        <v>0</v>
      </c>
    </row>
    <row r="30" spans="1:44" x14ac:dyDescent="0.2">
      <c r="B30" s="153" t="s">
        <v>396</v>
      </c>
      <c r="C30" s="13">
        <f>'Resumen Costos'!C30</f>
        <v>45.518018475400901</v>
      </c>
      <c r="D30" s="13">
        <f>'Resumen Costos'!D30</f>
        <v>0</v>
      </c>
      <c r="E30" s="13">
        <f>'Resumen Costos'!E30</f>
        <v>179.67514570687243</v>
      </c>
      <c r="F30" s="13">
        <f>'Resumen Costos'!F30</f>
        <v>250.29930284635986</v>
      </c>
      <c r="G30" s="13">
        <f>'Resumen Costos'!G30</f>
        <v>0</v>
      </c>
      <c r="H30" s="13">
        <f>'Resumen Costos'!H30</f>
        <v>0</v>
      </c>
      <c r="I30" s="219">
        <f t="shared" si="5"/>
        <v>101.15115216755756</v>
      </c>
      <c r="J30" s="219">
        <f t="shared" si="6"/>
        <v>0</v>
      </c>
      <c r="K30" s="219">
        <f t="shared" si="7"/>
        <v>399.27810157082763</v>
      </c>
      <c r="L30" s="219">
        <f t="shared" si="8"/>
        <v>556.22067299191076</v>
      </c>
      <c r="M30" s="219">
        <f t="shared" si="9"/>
        <v>0</v>
      </c>
      <c r="N30" s="219">
        <f t="shared" si="10"/>
        <v>0</v>
      </c>
      <c r="O30" s="32">
        <f t="shared" si="11"/>
        <v>113.79504618850224</v>
      </c>
      <c r="P30" s="32">
        <f t="shared" si="12"/>
        <v>0</v>
      </c>
      <c r="Q30" s="32">
        <f t="shared" si="13"/>
        <v>449.18786426718106</v>
      </c>
      <c r="R30" s="32">
        <f t="shared" si="14"/>
        <v>625.74825711589961</v>
      </c>
      <c r="S30" s="32">
        <f t="shared" si="15"/>
        <v>0</v>
      </c>
      <c r="T30" s="32">
        <f t="shared" si="16"/>
        <v>0</v>
      </c>
      <c r="U30" s="32">
        <f t="shared" si="17"/>
        <v>130.0514813582883</v>
      </c>
      <c r="V30" s="32">
        <f t="shared" si="18"/>
        <v>0</v>
      </c>
      <c r="W30" s="32">
        <f t="shared" si="19"/>
        <v>513.35755916249263</v>
      </c>
      <c r="X30" s="32">
        <f t="shared" si="20"/>
        <v>715.1408652753139</v>
      </c>
      <c r="Y30" s="32">
        <f t="shared" si="21"/>
        <v>0</v>
      </c>
      <c r="Z30" s="32">
        <f t="shared" si="22"/>
        <v>0</v>
      </c>
      <c r="AA30" s="32">
        <f t="shared" si="23"/>
        <v>151.72672825133634</v>
      </c>
      <c r="AB30" s="32">
        <f t="shared" si="24"/>
        <v>0</v>
      </c>
      <c r="AC30" s="32">
        <f t="shared" si="25"/>
        <v>598.91715235624144</v>
      </c>
      <c r="AD30" s="32">
        <f t="shared" si="26"/>
        <v>834.33100948786625</v>
      </c>
      <c r="AE30" s="32">
        <f t="shared" si="27"/>
        <v>0</v>
      </c>
      <c r="AF30" s="32">
        <f t="shared" si="28"/>
        <v>0</v>
      </c>
      <c r="AG30" s="229">
        <v>125</v>
      </c>
      <c r="AH30" s="229"/>
      <c r="AI30" s="229"/>
      <c r="AJ30" s="229">
        <v>560</v>
      </c>
      <c r="AK30" s="229"/>
      <c r="AL30" s="229"/>
      <c r="AM30" s="219">
        <f t="shared" si="29"/>
        <v>101.15115216755756</v>
      </c>
      <c r="AN30" s="219">
        <f t="shared" si="30"/>
        <v>0</v>
      </c>
      <c r="AO30" s="219">
        <f t="shared" si="31"/>
        <v>399.27810157082763</v>
      </c>
      <c r="AP30" s="219">
        <f t="shared" si="32"/>
        <v>556.22067299191076</v>
      </c>
      <c r="AQ30" s="219">
        <f t="shared" si="33"/>
        <v>0</v>
      </c>
      <c r="AR30" s="219">
        <f t="shared" si="34"/>
        <v>0</v>
      </c>
    </row>
    <row r="31" spans="1:44" x14ac:dyDescent="0.2">
      <c r="B31" s="124" t="s">
        <v>635</v>
      </c>
      <c r="C31" s="13">
        <f>'Resumen Costos'!C31</f>
        <v>52.866543095633389</v>
      </c>
      <c r="D31" s="13">
        <f>'Resumen Costos'!D31</f>
        <v>0</v>
      </c>
      <c r="E31" s="13">
        <f>'Resumen Costos'!E31</f>
        <v>198.97726486423255</v>
      </c>
      <c r="F31" s="13">
        <f>'Resumen Costos'!F31</f>
        <v>286.31469729634881</v>
      </c>
      <c r="G31" s="13">
        <f>'Resumen Costos'!G31</f>
        <v>0</v>
      </c>
      <c r="H31" s="13">
        <f>'Resumen Costos'!H31</f>
        <v>0</v>
      </c>
      <c r="I31" s="219">
        <f t="shared" ref="I31:I35" si="35">_xlfn.IFNA(C31/$J$1,0)</f>
        <v>117.48120687918531</v>
      </c>
      <c r="J31" s="219">
        <f t="shared" ref="J31:J35" si="36">_xlfn.IFNA(D31/$J$1,0)</f>
        <v>0</v>
      </c>
      <c r="K31" s="219">
        <f t="shared" ref="K31:K35" si="37">_xlfn.IFNA(E31/$J$1,0)</f>
        <v>442.17169969829456</v>
      </c>
      <c r="L31" s="219">
        <f t="shared" ref="L31:L35" si="38">_xlfn.IFNA(F31/$J$1,0)</f>
        <v>636.25488288077509</v>
      </c>
      <c r="M31" s="219">
        <f t="shared" ref="M31:M35" si="39">_xlfn.IFNA(G31/$J$1,0)</f>
        <v>0</v>
      </c>
      <c r="N31" s="219">
        <f t="shared" ref="N31:N35" si="40">_xlfn.IFNA(H31/$J$1,0)</f>
        <v>0</v>
      </c>
      <c r="O31" s="32">
        <f t="shared" ref="O31:O35" si="41">_xlfn.IFNA(C31/$P$1,0)</f>
        <v>132.16635773908345</v>
      </c>
      <c r="P31" s="32">
        <f t="shared" ref="P31:P35" si="42">_xlfn.IFNA(D31/$P$1,0)</f>
        <v>0</v>
      </c>
      <c r="Q31" s="32">
        <f t="shared" ref="Q31:Q35" si="43">_xlfn.IFNA(E31/$P$1,0)</f>
        <v>497.44316216058138</v>
      </c>
      <c r="R31" s="32">
        <f t="shared" ref="R31:R35" si="44">_xlfn.IFNA(F31/$P$1,0)</f>
        <v>715.78674324087194</v>
      </c>
      <c r="S31" s="32">
        <f t="shared" ref="S31:S35" si="45">_xlfn.IFNA(G31/$P$1,0)</f>
        <v>0</v>
      </c>
      <c r="T31" s="32">
        <f t="shared" ref="T31:T35" si="46">_xlfn.IFNA(H31/$P$1,0)</f>
        <v>0</v>
      </c>
      <c r="U31" s="32">
        <f t="shared" ref="U31:U35" si="47">_xlfn.IFNA(C31/$V$1,0)</f>
        <v>151.04726598752399</v>
      </c>
      <c r="V31" s="32">
        <f t="shared" ref="V31:V35" si="48">_xlfn.IFNA(D31/$V$1,0)</f>
        <v>0</v>
      </c>
      <c r="W31" s="32">
        <f t="shared" ref="W31:W35" si="49">_xlfn.IFNA(E31/$V$1,0)</f>
        <v>568.50647104066445</v>
      </c>
      <c r="X31" s="32">
        <f t="shared" ref="X31:X35" si="50">_xlfn.IFNA(F31/$V$1,0)</f>
        <v>818.04199227528238</v>
      </c>
      <c r="Y31" s="32">
        <f t="shared" ref="Y31:Y35" si="51">_xlfn.IFNA(G31/$V$1,0)</f>
        <v>0</v>
      </c>
      <c r="Z31" s="32">
        <f t="shared" ref="Z31:Z35" si="52">_xlfn.IFNA(H31/$V$1,0)</f>
        <v>0</v>
      </c>
      <c r="AA31" s="32">
        <f t="shared" ref="AA31:AA35" si="53">_xlfn.IFNA(C31/$AB$1,0)</f>
        <v>176.22181031877798</v>
      </c>
      <c r="AB31" s="32">
        <f t="shared" ref="AB31:AB35" si="54">_xlfn.IFNA(D31/$AB$1,0)</f>
        <v>0</v>
      </c>
      <c r="AC31" s="32">
        <f t="shared" ref="AC31:AC35" si="55">_xlfn.IFNA(E31/$AB$1,0)</f>
        <v>663.25754954744184</v>
      </c>
      <c r="AD31" s="32">
        <f t="shared" ref="AD31:AD35" si="56">_xlfn.IFNA(F31/$AB$1,0)</f>
        <v>954.38232432116274</v>
      </c>
      <c r="AE31" s="32">
        <f t="shared" ref="AE31:AE35" si="57">_xlfn.IFNA(G31/$AB$1,0)</f>
        <v>0</v>
      </c>
      <c r="AF31" s="32">
        <f t="shared" ref="AF31:AF35" si="58">_xlfn.IFNA(H31/$AB$1,0)</f>
        <v>0</v>
      </c>
      <c r="AG31" s="229">
        <v>125</v>
      </c>
      <c r="AH31" s="229"/>
      <c r="AI31" s="229"/>
      <c r="AJ31" s="229">
        <v>650</v>
      </c>
      <c r="AK31" s="229"/>
      <c r="AL31" s="229"/>
      <c r="AM31" s="219">
        <f t="shared" si="29"/>
        <v>117.48120687918531</v>
      </c>
      <c r="AN31" s="219">
        <f t="shared" si="30"/>
        <v>0</v>
      </c>
      <c r="AO31" s="219">
        <f t="shared" si="31"/>
        <v>442.17169969829456</v>
      </c>
      <c r="AP31" s="219">
        <f t="shared" si="32"/>
        <v>636.25488288077509</v>
      </c>
      <c r="AQ31" s="219">
        <f t="shared" si="33"/>
        <v>0</v>
      </c>
      <c r="AR31" s="219">
        <f t="shared" si="34"/>
        <v>0</v>
      </c>
    </row>
    <row r="32" spans="1:44" x14ac:dyDescent="0.2">
      <c r="B32" s="124" t="s">
        <v>180</v>
      </c>
      <c r="C32" s="13">
        <f>'Resumen Costos'!C32</f>
        <v>0</v>
      </c>
      <c r="D32" s="13">
        <f>'Resumen Costos'!D32</f>
        <v>0</v>
      </c>
      <c r="E32" s="13">
        <f>'Resumen Costos'!E32</f>
        <v>0</v>
      </c>
      <c r="F32" s="13">
        <f>'Resumen Costos'!F32</f>
        <v>0</v>
      </c>
      <c r="G32" s="13">
        <f>'Resumen Costos'!G32</f>
        <v>0</v>
      </c>
      <c r="H32" s="13">
        <f>'Resumen Costos'!H32</f>
        <v>0</v>
      </c>
      <c r="I32" s="219">
        <f t="shared" si="35"/>
        <v>0</v>
      </c>
      <c r="J32" s="219">
        <f t="shared" si="36"/>
        <v>0</v>
      </c>
      <c r="K32" s="219">
        <f t="shared" si="37"/>
        <v>0</v>
      </c>
      <c r="L32" s="219">
        <f t="shared" si="38"/>
        <v>0</v>
      </c>
      <c r="M32" s="219">
        <f t="shared" si="39"/>
        <v>0</v>
      </c>
      <c r="N32" s="219">
        <f t="shared" si="40"/>
        <v>0</v>
      </c>
      <c r="O32" s="32">
        <f t="shared" si="41"/>
        <v>0</v>
      </c>
      <c r="P32" s="32">
        <f t="shared" si="42"/>
        <v>0</v>
      </c>
      <c r="Q32" s="32">
        <f t="shared" si="43"/>
        <v>0</v>
      </c>
      <c r="R32" s="32">
        <f t="shared" si="44"/>
        <v>0</v>
      </c>
      <c r="S32" s="32">
        <f t="shared" si="45"/>
        <v>0</v>
      </c>
      <c r="T32" s="32">
        <f t="shared" si="46"/>
        <v>0</v>
      </c>
      <c r="U32" s="32">
        <f t="shared" si="47"/>
        <v>0</v>
      </c>
      <c r="V32" s="32">
        <f t="shared" si="48"/>
        <v>0</v>
      </c>
      <c r="W32" s="32">
        <f t="shared" si="49"/>
        <v>0</v>
      </c>
      <c r="X32" s="32">
        <f t="shared" si="50"/>
        <v>0</v>
      </c>
      <c r="Y32" s="32">
        <f t="shared" si="51"/>
        <v>0</v>
      </c>
      <c r="Z32" s="32">
        <f t="shared" si="52"/>
        <v>0</v>
      </c>
      <c r="AA32" s="32">
        <f t="shared" si="53"/>
        <v>0</v>
      </c>
      <c r="AB32" s="32">
        <f t="shared" si="54"/>
        <v>0</v>
      </c>
      <c r="AC32" s="32">
        <f t="shared" si="55"/>
        <v>0</v>
      </c>
      <c r="AD32" s="32">
        <f t="shared" si="56"/>
        <v>0</v>
      </c>
      <c r="AE32" s="32">
        <f t="shared" si="57"/>
        <v>0</v>
      </c>
      <c r="AF32" s="32">
        <f t="shared" si="58"/>
        <v>0</v>
      </c>
      <c r="AG32" s="229">
        <f ca="1">-AG32</f>
        <v>0</v>
      </c>
      <c r="AH32" s="229"/>
      <c r="AI32" s="229"/>
      <c r="AJ32" s="229"/>
      <c r="AK32" s="229"/>
      <c r="AL32" s="229"/>
      <c r="AM32" s="219">
        <f t="shared" si="29"/>
        <v>0</v>
      </c>
      <c r="AN32" s="219">
        <f t="shared" si="30"/>
        <v>0</v>
      </c>
      <c r="AO32" s="219">
        <f t="shared" si="31"/>
        <v>0</v>
      </c>
      <c r="AP32" s="219">
        <f t="shared" si="32"/>
        <v>0</v>
      </c>
      <c r="AQ32" s="219">
        <f t="shared" si="33"/>
        <v>0</v>
      </c>
      <c r="AR32" s="219">
        <f t="shared" si="34"/>
        <v>0</v>
      </c>
    </row>
    <row r="33" spans="1:44" x14ac:dyDescent="0.2">
      <c r="B33" s="124" t="s">
        <v>692</v>
      </c>
      <c r="C33" s="13">
        <f>Cheesecake!BM29</f>
        <v>56.522500773204584</v>
      </c>
      <c r="D33" s="13">
        <f>'Resumen Costos'!D33</f>
        <v>0</v>
      </c>
      <c r="E33" s="13">
        <f>Cheesecake!BJ29</f>
        <v>194.38114258937796</v>
      </c>
      <c r="F33" s="13">
        <f>Cheesecake!BG29</f>
        <v>280.56721278709</v>
      </c>
      <c r="G33" s="13">
        <f>'Resumen Costos'!G33</f>
        <v>0</v>
      </c>
      <c r="H33" s="13">
        <f>'Resumen Costos'!H33</f>
        <v>0</v>
      </c>
      <c r="I33" s="219">
        <f t="shared" si="35"/>
        <v>125.60555727378797</v>
      </c>
      <c r="J33" s="219">
        <f t="shared" si="36"/>
        <v>0</v>
      </c>
      <c r="K33" s="219">
        <f t="shared" si="37"/>
        <v>431.95809464306211</v>
      </c>
      <c r="L33" s="219">
        <f t="shared" si="38"/>
        <v>623.4826950824222</v>
      </c>
      <c r="M33" s="219">
        <f t="shared" si="39"/>
        <v>0</v>
      </c>
      <c r="N33" s="219">
        <f t="shared" si="40"/>
        <v>0</v>
      </c>
      <c r="O33" s="32">
        <f t="shared" si="41"/>
        <v>141.30625193301145</v>
      </c>
      <c r="P33" s="32">
        <f t="shared" si="42"/>
        <v>0</v>
      </c>
      <c r="Q33" s="32">
        <f t="shared" si="43"/>
        <v>485.95285647344485</v>
      </c>
      <c r="R33" s="32">
        <f t="shared" si="44"/>
        <v>701.41803196772491</v>
      </c>
      <c r="S33" s="32">
        <f t="shared" si="45"/>
        <v>0</v>
      </c>
      <c r="T33" s="32">
        <f t="shared" si="46"/>
        <v>0</v>
      </c>
      <c r="U33" s="32">
        <f t="shared" si="47"/>
        <v>161.49285935201311</v>
      </c>
      <c r="V33" s="32">
        <f t="shared" si="48"/>
        <v>0</v>
      </c>
      <c r="W33" s="32">
        <f t="shared" si="49"/>
        <v>555.37469311250845</v>
      </c>
      <c r="X33" s="32">
        <f t="shared" si="50"/>
        <v>801.62060796311437</v>
      </c>
      <c r="Y33" s="32">
        <f t="shared" si="51"/>
        <v>0</v>
      </c>
      <c r="Z33" s="32">
        <f t="shared" si="52"/>
        <v>0</v>
      </c>
      <c r="AA33" s="32">
        <f t="shared" si="53"/>
        <v>188.40833591068196</v>
      </c>
      <c r="AB33" s="32">
        <f t="shared" si="54"/>
        <v>0</v>
      </c>
      <c r="AC33" s="32">
        <f t="shared" si="55"/>
        <v>647.93714196459325</v>
      </c>
      <c r="AD33" s="32">
        <f t="shared" si="56"/>
        <v>935.22404262363341</v>
      </c>
      <c r="AE33" s="32">
        <f t="shared" si="57"/>
        <v>0</v>
      </c>
      <c r="AF33" s="32">
        <f t="shared" si="58"/>
        <v>0</v>
      </c>
      <c r="AG33" s="229">
        <v>130</v>
      </c>
      <c r="AH33" s="229"/>
      <c r="AI33" s="229"/>
      <c r="AJ33" s="229">
        <v>635</v>
      </c>
      <c r="AK33" s="229"/>
      <c r="AL33" s="229"/>
      <c r="AM33" s="219">
        <f t="shared" si="29"/>
        <v>125.60555727378797</v>
      </c>
      <c r="AN33" s="219">
        <f t="shared" si="30"/>
        <v>0</v>
      </c>
      <c r="AO33" s="219">
        <f t="shared" si="31"/>
        <v>431.95809464306211</v>
      </c>
      <c r="AP33" s="219">
        <f t="shared" si="32"/>
        <v>623.4826950824222</v>
      </c>
      <c r="AQ33" s="219">
        <f t="shared" si="33"/>
        <v>0</v>
      </c>
      <c r="AR33" s="219">
        <f t="shared" si="34"/>
        <v>0</v>
      </c>
    </row>
    <row r="34" spans="1:44" x14ac:dyDescent="0.2">
      <c r="B34" s="124" t="s">
        <v>512</v>
      </c>
      <c r="C34" s="13">
        <f>'Resumen Costos'!C34</f>
        <v>0</v>
      </c>
      <c r="D34" s="13">
        <f>'Resumen Costos'!D34</f>
        <v>0</v>
      </c>
      <c r="E34" s="13">
        <f>'Resumen Costos'!E34</f>
        <v>0</v>
      </c>
      <c r="F34" s="13">
        <f>'Resumen Costos'!F34</f>
        <v>0</v>
      </c>
      <c r="G34" s="13">
        <f>'Resumen Costos'!G34</f>
        <v>0</v>
      </c>
      <c r="H34" s="13">
        <f>'Resumen Costos'!H34</f>
        <v>0</v>
      </c>
      <c r="I34" s="219">
        <f>_xlfn.IFNA(C34/$J$1,0)</f>
        <v>0</v>
      </c>
      <c r="J34" s="219">
        <f t="shared" si="36"/>
        <v>0</v>
      </c>
      <c r="K34" s="219">
        <f t="shared" si="37"/>
        <v>0</v>
      </c>
      <c r="L34" s="219">
        <f t="shared" si="38"/>
        <v>0</v>
      </c>
      <c r="M34" s="219">
        <f t="shared" si="39"/>
        <v>0</v>
      </c>
      <c r="N34" s="219">
        <f t="shared" si="40"/>
        <v>0</v>
      </c>
      <c r="O34" s="32">
        <f t="shared" si="41"/>
        <v>0</v>
      </c>
      <c r="P34" s="32">
        <f t="shared" si="42"/>
        <v>0</v>
      </c>
      <c r="Q34" s="32">
        <f t="shared" si="43"/>
        <v>0</v>
      </c>
      <c r="R34" s="32">
        <f t="shared" si="44"/>
        <v>0</v>
      </c>
      <c r="S34" s="32">
        <f t="shared" si="45"/>
        <v>0</v>
      </c>
      <c r="T34" s="32">
        <f t="shared" si="46"/>
        <v>0</v>
      </c>
      <c r="U34" s="32">
        <f t="shared" si="47"/>
        <v>0</v>
      </c>
      <c r="V34" s="32">
        <f t="shared" si="48"/>
        <v>0</v>
      </c>
      <c r="W34" s="32">
        <f t="shared" si="49"/>
        <v>0</v>
      </c>
      <c r="X34" s="32">
        <f t="shared" si="50"/>
        <v>0</v>
      </c>
      <c r="Y34" s="32">
        <f t="shared" si="51"/>
        <v>0</v>
      </c>
      <c r="Z34" s="32">
        <f t="shared" si="52"/>
        <v>0</v>
      </c>
      <c r="AA34" s="32">
        <f t="shared" si="53"/>
        <v>0</v>
      </c>
      <c r="AB34" s="32">
        <f t="shared" si="54"/>
        <v>0</v>
      </c>
      <c r="AC34" s="32">
        <f t="shared" si="55"/>
        <v>0</v>
      </c>
      <c r="AD34" s="32">
        <f t="shared" si="56"/>
        <v>0</v>
      </c>
      <c r="AE34" s="32">
        <f t="shared" si="57"/>
        <v>0</v>
      </c>
      <c r="AF34" s="32">
        <f t="shared" si="58"/>
        <v>0</v>
      </c>
      <c r="AG34" s="229">
        <v>130</v>
      </c>
      <c r="AH34" s="229"/>
      <c r="AI34" s="229"/>
      <c r="AJ34" s="229">
        <v>600</v>
      </c>
      <c r="AK34" s="229"/>
      <c r="AL34" s="229"/>
      <c r="AM34" s="219">
        <f t="shared" si="29"/>
        <v>0</v>
      </c>
      <c r="AN34" s="219">
        <f t="shared" si="30"/>
        <v>0</v>
      </c>
      <c r="AO34" s="219">
        <f t="shared" si="31"/>
        <v>0</v>
      </c>
      <c r="AP34" s="219">
        <f t="shared" si="32"/>
        <v>0</v>
      </c>
      <c r="AQ34" s="219">
        <f t="shared" si="33"/>
        <v>0</v>
      </c>
      <c r="AR34" s="219">
        <f t="shared" si="34"/>
        <v>0</v>
      </c>
    </row>
    <row r="35" spans="1:44" ht="16" thickBot="1" x14ac:dyDescent="0.25">
      <c r="A35" s="98"/>
      <c r="B35" s="154" t="s">
        <v>630</v>
      </c>
      <c r="C35" s="100">
        <f>'Resumen Costos'!C35</f>
        <v>51.531338550178837</v>
      </c>
      <c r="D35" s="100">
        <f>'Resumen Costos'!D35</f>
        <v>0</v>
      </c>
      <c r="E35" s="100">
        <f>'Resumen Costos'!E35</f>
        <v>168.30959961864107</v>
      </c>
      <c r="F35" s="100">
        <f>'Resumen Costos'!F35</f>
        <v>244.24055941756092</v>
      </c>
      <c r="G35" s="100">
        <f>'Resumen Costos'!G35</f>
        <v>0</v>
      </c>
      <c r="H35" s="100">
        <f>'Resumen Costos'!H35</f>
        <v>0</v>
      </c>
      <c r="I35" s="219">
        <f t="shared" si="35"/>
        <v>114.51408566706408</v>
      </c>
      <c r="J35" s="219">
        <f t="shared" si="36"/>
        <v>0</v>
      </c>
      <c r="K35" s="219">
        <f t="shared" si="37"/>
        <v>374.02133248586904</v>
      </c>
      <c r="L35" s="219">
        <f t="shared" si="38"/>
        <v>542.75679870569093</v>
      </c>
      <c r="M35" s="219">
        <f t="shared" si="39"/>
        <v>0</v>
      </c>
      <c r="N35" s="219">
        <f t="shared" si="40"/>
        <v>0</v>
      </c>
      <c r="O35" s="32">
        <f t="shared" si="41"/>
        <v>128.8283463754471</v>
      </c>
      <c r="P35" s="32">
        <f t="shared" si="42"/>
        <v>0</v>
      </c>
      <c r="Q35" s="32">
        <f t="shared" si="43"/>
        <v>420.77399904660268</v>
      </c>
      <c r="R35" s="32">
        <f t="shared" si="44"/>
        <v>610.60139854390229</v>
      </c>
      <c r="S35" s="32">
        <f t="shared" si="45"/>
        <v>0</v>
      </c>
      <c r="T35" s="32">
        <f t="shared" si="46"/>
        <v>0</v>
      </c>
      <c r="U35" s="32">
        <f t="shared" si="47"/>
        <v>147.23239585765384</v>
      </c>
      <c r="V35" s="32">
        <f t="shared" si="48"/>
        <v>0</v>
      </c>
      <c r="W35" s="32">
        <f t="shared" si="49"/>
        <v>480.88457033897453</v>
      </c>
      <c r="X35" s="32">
        <f t="shared" si="50"/>
        <v>697.83016976445981</v>
      </c>
      <c r="Y35" s="32">
        <f t="shared" si="51"/>
        <v>0</v>
      </c>
      <c r="Z35" s="32">
        <f t="shared" si="52"/>
        <v>0</v>
      </c>
      <c r="AA35" s="32">
        <f t="shared" si="53"/>
        <v>171.77112850059612</v>
      </c>
      <c r="AB35" s="32">
        <f t="shared" si="54"/>
        <v>0</v>
      </c>
      <c r="AC35" s="32">
        <f t="shared" si="55"/>
        <v>561.03199872880361</v>
      </c>
      <c r="AD35" s="32">
        <f t="shared" si="56"/>
        <v>814.13519805853639</v>
      </c>
      <c r="AE35" s="32">
        <f t="shared" si="57"/>
        <v>0</v>
      </c>
      <c r="AF35" s="32">
        <f t="shared" si="58"/>
        <v>0</v>
      </c>
      <c r="AG35" s="229">
        <v>125</v>
      </c>
      <c r="AH35" s="229"/>
      <c r="AI35" s="229"/>
      <c r="AJ35" s="229">
        <v>555</v>
      </c>
      <c r="AK35" s="229"/>
      <c r="AL35" s="229"/>
      <c r="AM35" s="219">
        <f t="shared" si="29"/>
        <v>114.51408566706408</v>
      </c>
      <c r="AN35" s="219">
        <f t="shared" si="30"/>
        <v>0</v>
      </c>
      <c r="AO35" s="219">
        <f t="shared" si="31"/>
        <v>374.02133248586904</v>
      </c>
      <c r="AP35" s="219">
        <f t="shared" si="32"/>
        <v>542.75679870569093</v>
      </c>
      <c r="AQ35" s="219">
        <f t="shared" si="33"/>
        <v>0</v>
      </c>
      <c r="AR35" s="219">
        <f t="shared" si="34"/>
        <v>0</v>
      </c>
    </row>
    <row r="36" spans="1:44" ht="16" thickTop="1" x14ac:dyDescent="0.2">
      <c r="A36" s="20" t="s">
        <v>524</v>
      </c>
      <c r="B36" s="153" t="s">
        <v>323</v>
      </c>
      <c r="C36" s="5" t="e">
        <f>Galletas!#REF!</f>
        <v>#REF!</v>
      </c>
      <c r="D36" s="5">
        <v>0</v>
      </c>
      <c r="E36" s="5">
        <v>0</v>
      </c>
      <c r="F36" s="5">
        <v>0</v>
      </c>
      <c r="G36" s="5">
        <v>0</v>
      </c>
      <c r="H36" s="5">
        <v>0</v>
      </c>
      <c r="I36" s="219" t="e">
        <f t="shared" ref="I36:I47" si="59">_xlfn.IFNA(C36/$J$1,0)</f>
        <v>#REF!</v>
      </c>
      <c r="J36" s="219">
        <f t="shared" ref="J36:J47" si="60">_xlfn.IFNA(D36/$J$1,0)</f>
        <v>0</v>
      </c>
      <c r="K36" s="219">
        <f t="shared" ref="K36:K47" si="61">_xlfn.IFNA(E36/$J$1,0)</f>
        <v>0</v>
      </c>
      <c r="L36" s="219">
        <f t="shared" ref="L36:L47" si="62">_xlfn.IFNA(F36/$J$1,0)</f>
        <v>0</v>
      </c>
      <c r="M36" s="219">
        <f t="shared" ref="M36:M47" si="63">_xlfn.IFNA(G36/$J$1,0)</f>
        <v>0</v>
      </c>
      <c r="N36" s="219">
        <f t="shared" ref="N36:N47" si="64">_xlfn.IFNA(H36/$J$1,0)</f>
        <v>0</v>
      </c>
      <c r="O36" s="32" t="e">
        <f t="shared" ref="O36:O47" si="65">_xlfn.IFNA(C36/$P$1,0)</f>
        <v>#REF!</v>
      </c>
      <c r="P36" s="32">
        <f t="shared" ref="P36:P47" si="66">_xlfn.IFNA(D36/$P$1,0)</f>
        <v>0</v>
      </c>
      <c r="Q36" s="32">
        <f t="shared" ref="Q36:Q47" si="67">_xlfn.IFNA(E36/$P$1,0)</f>
        <v>0</v>
      </c>
      <c r="R36" s="32">
        <f t="shared" ref="R36:R47" si="68">_xlfn.IFNA(F36/$P$1,0)</f>
        <v>0</v>
      </c>
      <c r="S36" s="32">
        <f t="shared" ref="S36:S47" si="69">_xlfn.IFNA(G36/$P$1,0)</f>
        <v>0</v>
      </c>
      <c r="T36" s="32">
        <f t="shared" ref="T36:T47" si="70">_xlfn.IFNA(H36/$P$1,0)</f>
        <v>0</v>
      </c>
      <c r="U36" s="32" t="e">
        <f t="shared" ref="U36:U47" si="71">_xlfn.IFNA(C36/$V$1,0)</f>
        <v>#REF!</v>
      </c>
      <c r="V36" s="32">
        <f t="shared" ref="V36:V47" si="72">_xlfn.IFNA(D36/$V$1,0)</f>
        <v>0</v>
      </c>
      <c r="W36" s="32">
        <f t="shared" ref="W36:W47" si="73">_xlfn.IFNA(E36/$V$1,0)</f>
        <v>0</v>
      </c>
      <c r="X36" s="32">
        <f t="shared" ref="X36:X47" si="74">_xlfn.IFNA(F36/$V$1,0)</f>
        <v>0</v>
      </c>
      <c r="Y36" s="32">
        <f t="shared" ref="Y36:Y47" si="75">_xlfn.IFNA(G36/$V$1,0)</f>
        <v>0</v>
      </c>
      <c r="Z36" s="32">
        <f t="shared" ref="Z36:Z47" si="76">_xlfn.IFNA(H36/$V$1,0)</f>
        <v>0</v>
      </c>
      <c r="AA36" s="32" t="e">
        <f t="shared" ref="AA36:AA47" si="77">_xlfn.IFNA(C36/$AB$1,0)</f>
        <v>#REF!</v>
      </c>
      <c r="AB36" s="32">
        <f t="shared" ref="AB36:AB47" si="78">_xlfn.IFNA(D36/$AB$1,0)</f>
        <v>0</v>
      </c>
      <c r="AC36" s="32">
        <f t="shared" ref="AC36:AC47" si="79">_xlfn.IFNA(E36/$AB$1,0)</f>
        <v>0</v>
      </c>
      <c r="AD36" s="32">
        <f t="shared" ref="AD36:AD47" si="80">_xlfn.IFNA(F36/$AB$1,0)</f>
        <v>0</v>
      </c>
      <c r="AE36" s="32">
        <f t="shared" ref="AE36:AE47" si="81">_xlfn.IFNA(G36/$AB$1,0)</f>
        <v>0</v>
      </c>
      <c r="AF36" s="32">
        <f t="shared" ref="AF36:AF47" si="82">_xlfn.IFNA(H36/$AB$1,0)</f>
        <v>0</v>
      </c>
      <c r="AG36" s="229">
        <v>32</v>
      </c>
      <c r="AH36" s="229"/>
      <c r="AI36" s="229"/>
      <c r="AJ36" s="229"/>
      <c r="AK36" s="229"/>
      <c r="AL36" s="229"/>
      <c r="AM36" s="219" t="e">
        <f t="shared" si="29"/>
        <v>#REF!</v>
      </c>
      <c r="AN36" s="219">
        <f t="shared" si="30"/>
        <v>0</v>
      </c>
      <c r="AO36" s="219">
        <f t="shared" si="31"/>
        <v>0</v>
      </c>
      <c r="AP36" s="219">
        <f t="shared" si="32"/>
        <v>0</v>
      </c>
      <c r="AQ36" s="219">
        <f t="shared" si="33"/>
        <v>0</v>
      </c>
      <c r="AR36" s="219">
        <f t="shared" si="34"/>
        <v>0</v>
      </c>
    </row>
    <row r="37" spans="1:44" x14ac:dyDescent="0.2">
      <c r="B37" s="124" t="s">
        <v>431</v>
      </c>
      <c r="C37" s="13">
        <f>Galletas!D68</f>
        <v>18.026861791666665</v>
      </c>
      <c r="D37" s="13"/>
      <c r="E37" s="13"/>
      <c r="F37" s="13"/>
      <c r="G37" s="13"/>
      <c r="H37" s="13"/>
      <c r="I37" s="219">
        <f t="shared" si="59"/>
        <v>40.059692870370363</v>
      </c>
      <c r="J37" s="219">
        <f t="shared" si="60"/>
        <v>0</v>
      </c>
      <c r="K37" s="219">
        <f t="shared" si="61"/>
        <v>0</v>
      </c>
      <c r="L37" s="219">
        <f t="shared" si="62"/>
        <v>0</v>
      </c>
      <c r="M37" s="219">
        <f t="shared" si="63"/>
        <v>0</v>
      </c>
      <c r="N37" s="219">
        <f t="shared" si="64"/>
        <v>0</v>
      </c>
      <c r="O37" s="32">
        <f t="shared" si="65"/>
        <v>45.067154479166661</v>
      </c>
      <c r="P37" s="32">
        <f t="shared" si="66"/>
        <v>0</v>
      </c>
      <c r="Q37" s="32">
        <f t="shared" si="67"/>
        <v>0</v>
      </c>
      <c r="R37" s="32">
        <f t="shared" si="68"/>
        <v>0</v>
      </c>
      <c r="S37" s="32">
        <f t="shared" si="69"/>
        <v>0</v>
      </c>
      <c r="T37" s="32">
        <f t="shared" si="70"/>
        <v>0</v>
      </c>
      <c r="U37" s="32">
        <f t="shared" si="71"/>
        <v>51.505319404761906</v>
      </c>
      <c r="V37" s="32">
        <f t="shared" si="72"/>
        <v>0</v>
      </c>
      <c r="W37" s="32">
        <f t="shared" si="73"/>
        <v>0</v>
      </c>
      <c r="X37" s="32">
        <f t="shared" si="74"/>
        <v>0</v>
      </c>
      <c r="Y37" s="32">
        <f t="shared" si="75"/>
        <v>0</v>
      </c>
      <c r="Z37" s="32">
        <f t="shared" si="76"/>
        <v>0</v>
      </c>
      <c r="AA37" s="32">
        <f t="shared" si="77"/>
        <v>60.089539305555554</v>
      </c>
      <c r="AB37" s="32">
        <f t="shared" si="78"/>
        <v>0</v>
      </c>
      <c r="AC37" s="32">
        <f t="shared" si="79"/>
        <v>0</v>
      </c>
      <c r="AD37" s="32">
        <f t="shared" si="80"/>
        <v>0</v>
      </c>
      <c r="AE37" s="32">
        <f t="shared" si="81"/>
        <v>0</v>
      </c>
      <c r="AF37" s="32">
        <f t="shared" si="82"/>
        <v>0</v>
      </c>
      <c r="AG37" s="229">
        <v>48</v>
      </c>
      <c r="AH37" s="229"/>
      <c r="AI37" s="229"/>
      <c r="AJ37" s="229"/>
      <c r="AK37" s="229"/>
      <c r="AL37" s="229"/>
      <c r="AM37" s="219">
        <f t="shared" si="29"/>
        <v>40.059692870370363</v>
      </c>
      <c r="AN37" s="219">
        <f t="shared" si="30"/>
        <v>0</v>
      </c>
      <c r="AO37" s="219">
        <f t="shared" si="31"/>
        <v>0</v>
      </c>
      <c r="AP37" s="219">
        <f t="shared" si="32"/>
        <v>0</v>
      </c>
      <c r="AQ37" s="219">
        <f t="shared" si="33"/>
        <v>0</v>
      </c>
      <c r="AR37" s="219">
        <f t="shared" si="34"/>
        <v>0</v>
      </c>
    </row>
    <row r="38" spans="1:44" x14ac:dyDescent="0.2">
      <c r="B38" s="124" t="s">
        <v>430</v>
      </c>
      <c r="C38" s="13">
        <f>Galletas!D225</f>
        <v>12.908000175779572</v>
      </c>
      <c r="D38" s="13"/>
      <c r="E38" s="13"/>
      <c r="F38" s="13"/>
      <c r="G38" s="13"/>
      <c r="H38" s="13"/>
      <c r="I38" s="219">
        <f t="shared" si="59"/>
        <v>28.684444835065715</v>
      </c>
      <c r="J38" s="219">
        <f t="shared" si="60"/>
        <v>0</v>
      </c>
      <c r="K38" s="219">
        <f t="shared" si="61"/>
        <v>0</v>
      </c>
      <c r="L38" s="219">
        <f t="shared" si="62"/>
        <v>0</v>
      </c>
      <c r="M38" s="219">
        <f t="shared" si="63"/>
        <v>0</v>
      </c>
      <c r="N38" s="219">
        <f t="shared" si="64"/>
        <v>0</v>
      </c>
      <c r="O38" s="32">
        <f t="shared" si="65"/>
        <v>32.270000439448928</v>
      </c>
      <c r="P38" s="32">
        <f t="shared" si="66"/>
        <v>0</v>
      </c>
      <c r="Q38" s="32">
        <f t="shared" si="67"/>
        <v>0</v>
      </c>
      <c r="R38" s="32">
        <f t="shared" si="68"/>
        <v>0</v>
      </c>
      <c r="S38" s="32">
        <f t="shared" si="69"/>
        <v>0</v>
      </c>
      <c r="T38" s="32">
        <f t="shared" si="70"/>
        <v>0</v>
      </c>
      <c r="U38" s="32">
        <f t="shared" si="71"/>
        <v>36.880000502227347</v>
      </c>
      <c r="V38" s="32">
        <f t="shared" si="72"/>
        <v>0</v>
      </c>
      <c r="W38" s="32">
        <f t="shared" si="73"/>
        <v>0</v>
      </c>
      <c r="X38" s="32">
        <f t="shared" si="74"/>
        <v>0</v>
      </c>
      <c r="Y38" s="32">
        <f t="shared" si="75"/>
        <v>0</v>
      </c>
      <c r="Z38" s="32">
        <f t="shared" si="76"/>
        <v>0</v>
      </c>
      <c r="AA38" s="32">
        <f t="shared" si="77"/>
        <v>43.026667252598571</v>
      </c>
      <c r="AB38" s="32">
        <f t="shared" si="78"/>
        <v>0</v>
      </c>
      <c r="AC38" s="32">
        <f t="shared" si="79"/>
        <v>0</v>
      </c>
      <c r="AD38" s="32">
        <f t="shared" si="80"/>
        <v>0</v>
      </c>
      <c r="AE38" s="32">
        <f t="shared" si="81"/>
        <v>0</v>
      </c>
      <c r="AF38" s="32">
        <f t="shared" si="82"/>
        <v>0</v>
      </c>
      <c r="AG38" s="229">
        <v>30</v>
      </c>
      <c r="AH38" s="229"/>
      <c r="AI38" s="229"/>
      <c r="AJ38" s="229"/>
      <c r="AK38" s="229"/>
      <c r="AL38" s="229"/>
      <c r="AM38" s="219">
        <f t="shared" si="29"/>
        <v>28.684444835065715</v>
      </c>
      <c r="AN38" s="219">
        <f t="shared" si="30"/>
        <v>0</v>
      </c>
      <c r="AO38" s="219">
        <f t="shared" si="31"/>
        <v>0</v>
      </c>
      <c r="AP38" s="219">
        <f t="shared" si="32"/>
        <v>0</v>
      </c>
      <c r="AQ38" s="219">
        <f t="shared" si="33"/>
        <v>0</v>
      </c>
      <c r="AR38" s="219">
        <f t="shared" si="34"/>
        <v>0</v>
      </c>
    </row>
    <row r="39" spans="1:44" x14ac:dyDescent="0.2">
      <c r="B39" s="124" t="s">
        <v>285</v>
      </c>
      <c r="C39" s="13">
        <f>Galletas!D90</f>
        <v>15.731111458333331</v>
      </c>
      <c r="D39" s="13"/>
      <c r="E39" s="13"/>
      <c r="F39" s="13"/>
      <c r="G39" s="13"/>
      <c r="H39" s="13"/>
      <c r="I39" s="219">
        <f t="shared" si="59"/>
        <v>34.958025462962958</v>
      </c>
      <c r="J39" s="219">
        <f t="shared" si="60"/>
        <v>0</v>
      </c>
      <c r="K39" s="219">
        <f t="shared" si="61"/>
        <v>0</v>
      </c>
      <c r="L39" s="219">
        <f t="shared" si="62"/>
        <v>0</v>
      </c>
      <c r="M39" s="219">
        <f t="shared" si="63"/>
        <v>0</v>
      </c>
      <c r="N39" s="219">
        <f t="shared" si="64"/>
        <v>0</v>
      </c>
      <c r="O39" s="32">
        <f t="shared" si="65"/>
        <v>39.327778645833327</v>
      </c>
      <c r="P39" s="32">
        <f t="shared" si="66"/>
        <v>0</v>
      </c>
      <c r="Q39" s="32">
        <f t="shared" si="67"/>
        <v>0</v>
      </c>
      <c r="R39" s="32">
        <f t="shared" si="68"/>
        <v>0</v>
      </c>
      <c r="S39" s="32">
        <f t="shared" si="69"/>
        <v>0</v>
      </c>
      <c r="T39" s="32">
        <f t="shared" si="70"/>
        <v>0</v>
      </c>
      <c r="U39" s="32">
        <f t="shared" si="71"/>
        <v>44.946032738095234</v>
      </c>
      <c r="V39" s="32">
        <f t="shared" si="72"/>
        <v>0</v>
      </c>
      <c r="W39" s="32">
        <f t="shared" si="73"/>
        <v>0</v>
      </c>
      <c r="X39" s="32">
        <f t="shared" si="74"/>
        <v>0</v>
      </c>
      <c r="Y39" s="32">
        <f t="shared" si="75"/>
        <v>0</v>
      </c>
      <c r="Z39" s="32">
        <f t="shared" si="76"/>
        <v>0</v>
      </c>
      <c r="AA39" s="32">
        <f t="shared" si="77"/>
        <v>52.43703819444444</v>
      </c>
      <c r="AB39" s="32">
        <f t="shared" si="78"/>
        <v>0</v>
      </c>
      <c r="AC39" s="32">
        <f t="shared" si="79"/>
        <v>0</v>
      </c>
      <c r="AD39" s="32">
        <f t="shared" si="80"/>
        <v>0</v>
      </c>
      <c r="AE39" s="32">
        <f t="shared" si="81"/>
        <v>0</v>
      </c>
      <c r="AF39" s="32">
        <f t="shared" si="82"/>
        <v>0</v>
      </c>
      <c r="AG39" s="229">
        <v>30</v>
      </c>
      <c r="AH39" s="229"/>
      <c r="AI39" s="229"/>
      <c r="AJ39" s="229"/>
      <c r="AK39" s="229"/>
      <c r="AL39" s="229"/>
      <c r="AM39" s="219">
        <f t="shared" si="29"/>
        <v>34.958025462962958</v>
      </c>
      <c r="AN39" s="219">
        <f t="shared" si="30"/>
        <v>0</v>
      </c>
      <c r="AO39" s="219">
        <f t="shared" si="31"/>
        <v>0</v>
      </c>
      <c r="AP39" s="219">
        <f t="shared" si="32"/>
        <v>0</v>
      </c>
      <c r="AQ39" s="219">
        <f t="shared" si="33"/>
        <v>0</v>
      </c>
      <c r="AR39" s="219">
        <f t="shared" si="34"/>
        <v>0</v>
      </c>
    </row>
    <row r="40" spans="1:44" x14ac:dyDescent="0.2">
      <c r="B40" s="124" t="s">
        <v>188</v>
      </c>
      <c r="C40" s="13">
        <f>Galletas!D122</f>
        <v>14.586311458333331</v>
      </c>
      <c r="D40" s="13"/>
      <c r="E40" s="13"/>
      <c r="F40" s="13"/>
      <c r="G40" s="13"/>
      <c r="H40" s="13"/>
      <c r="I40" s="219">
        <f t="shared" si="59"/>
        <v>32.414025462962954</v>
      </c>
      <c r="J40" s="219">
        <f t="shared" si="60"/>
        <v>0</v>
      </c>
      <c r="K40" s="219">
        <f t="shared" si="61"/>
        <v>0</v>
      </c>
      <c r="L40" s="219">
        <f t="shared" si="62"/>
        <v>0</v>
      </c>
      <c r="M40" s="219">
        <f t="shared" si="63"/>
        <v>0</v>
      </c>
      <c r="N40" s="219">
        <f t="shared" si="64"/>
        <v>0</v>
      </c>
      <c r="O40" s="32">
        <f t="shared" si="65"/>
        <v>36.465778645833325</v>
      </c>
      <c r="P40" s="32">
        <f t="shared" si="66"/>
        <v>0</v>
      </c>
      <c r="Q40" s="32">
        <f t="shared" si="67"/>
        <v>0</v>
      </c>
      <c r="R40" s="32">
        <f t="shared" si="68"/>
        <v>0</v>
      </c>
      <c r="S40" s="32">
        <f t="shared" si="69"/>
        <v>0</v>
      </c>
      <c r="T40" s="32">
        <f t="shared" si="70"/>
        <v>0</v>
      </c>
      <c r="U40" s="32">
        <f t="shared" si="71"/>
        <v>41.675175595238088</v>
      </c>
      <c r="V40" s="32">
        <f t="shared" si="72"/>
        <v>0</v>
      </c>
      <c r="W40" s="32">
        <f t="shared" si="73"/>
        <v>0</v>
      </c>
      <c r="X40" s="32">
        <f t="shared" si="74"/>
        <v>0</v>
      </c>
      <c r="Y40" s="32">
        <f t="shared" si="75"/>
        <v>0</v>
      </c>
      <c r="Z40" s="32">
        <f t="shared" si="76"/>
        <v>0</v>
      </c>
      <c r="AA40" s="32">
        <f t="shared" si="77"/>
        <v>48.621038194444438</v>
      </c>
      <c r="AB40" s="32">
        <f t="shared" si="78"/>
        <v>0</v>
      </c>
      <c r="AC40" s="32">
        <f t="shared" si="79"/>
        <v>0</v>
      </c>
      <c r="AD40" s="32">
        <f t="shared" si="80"/>
        <v>0</v>
      </c>
      <c r="AE40" s="32">
        <f t="shared" si="81"/>
        <v>0</v>
      </c>
      <c r="AF40" s="32">
        <f t="shared" si="82"/>
        <v>0</v>
      </c>
      <c r="AG40" s="229">
        <v>32</v>
      </c>
      <c r="AH40" s="229"/>
      <c r="AI40" s="229"/>
      <c r="AJ40" s="229"/>
      <c r="AK40" s="229"/>
      <c r="AL40" s="229"/>
      <c r="AM40" s="219">
        <f t="shared" si="29"/>
        <v>32.414025462962954</v>
      </c>
      <c r="AN40" s="219">
        <f t="shared" si="30"/>
        <v>0</v>
      </c>
      <c r="AO40" s="219">
        <f t="shared" si="31"/>
        <v>0</v>
      </c>
      <c r="AP40" s="219">
        <f t="shared" si="32"/>
        <v>0</v>
      </c>
      <c r="AQ40" s="219">
        <f t="shared" si="33"/>
        <v>0</v>
      </c>
      <c r="AR40" s="219">
        <f t="shared" si="34"/>
        <v>0</v>
      </c>
    </row>
    <row r="41" spans="1:44" ht="16" thickBot="1" x14ac:dyDescent="0.25">
      <c r="A41" s="98"/>
      <c r="B41" s="154" t="s">
        <v>416</v>
      </c>
      <c r="C41" s="100">
        <f>Galletas!D156</f>
        <v>8.9995664583333337</v>
      </c>
      <c r="D41" s="100"/>
      <c r="E41" s="100"/>
      <c r="F41" s="100"/>
      <c r="G41" s="100"/>
      <c r="H41" s="100"/>
      <c r="I41" s="219">
        <f t="shared" si="59"/>
        <v>19.999036574074076</v>
      </c>
      <c r="J41" s="219">
        <f t="shared" si="60"/>
        <v>0</v>
      </c>
      <c r="K41" s="219">
        <f t="shared" si="61"/>
        <v>0</v>
      </c>
      <c r="L41" s="219">
        <f t="shared" si="62"/>
        <v>0</v>
      </c>
      <c r="M41" s="219">
        <f t="shared" si="63"/>
        <v>0</v>
      </c>
      <c r="N41" s="219">
        <f t="shared" si="64"/>
        <v>0</v>
      </c>
      <c r="O41" s="32">
        <f t="shared" si="65"/>
        <v>22.498916145833334</v>
      </c>
      <c r="P41" s="32">
        <f t="shared" si="66"/>
        <v>0</v>
      </c>
      <c r="Q41" s="32">
        <f t="shared" si="67"/>
        <v>0</v>
      </c>
      <c r="R41" s="32">
        <f t="shared" si="68"/>
        <v>0</v>
      </c>
      <c r="S41" s="32">
        <f t="shared" si="69"/>
        <v>0</v>
      </c>
      <c r="T41" s="32">
        <f t="shared" si="70"/>
        <v>0</v>
      </c>
      <c r="U41" s="32">
        <f t="shared" si="71"/>
        <v>25.713047023809526</v>
      </c>
      <c r="V41" s="32">
        <f t="shared" si="72"/>
        <v>0</v>
      </c>
      <c r="W41" s="32">
        <f t="shared" si="73"/>
        <v>0</v>
      </c>
      <c r="X41" s="32">
        <f t="shared" si="74"/>
        <v>0</v>
      </c>
      <c r="Y41" s="32">
        <f t="shared" si="75"/>
        <v>0</v>
      </c>
      <c r="Z41" s="32">
        <f t="shared" si="76"/>
        <v>0</v>
      </c>
      <c r="AA41" s="32">
        <f t="shared" si="77"/>
        <v>29.998554861111113</v>
      </c>
      <c r="AB41" s="32">
        <f t="shared" si="78"/>
        <v>0</v>
      </c>
      <c r="AC41" s="32">
        <f t="shared" si="79"/>
        <v>0</v>
      </c>
      <c r="AD41" s="32">
        <f t="shared" si="80"/>
        <v>0</v>
      </c>
      <c r="AE41" s="32">
        <f t="shared" si="81"/>
        <v>0</v>
      </c>
      <c r="AF41" s="32">
        <f t="shared" si="82"/>
        <v>0</v>
      </c>
      <c r="AG41" s="229">
        <v>30</v>
      </c>
      <c r="AH41" s="229"/>
      <c r="AI41" s="229"/>
      <c r="AJ41" s="229"/>
      <c r="AK41" s="229"/>
      <c r="AL41" s="229"/>
      <c r="AM41" s="219">
        <f t="shared" si="29"/>
        <v>19.999036574074076</v>
      </c>
      <c r="AN41" s="219">
        <f t="shared" si="30"/>
        <v>0</v>
      </c>
      <c r="AO41" s="219">
        <f t="shared" si="31"/>
        <v>0</v>
      </c>
      <c r="AP41" s="219">
        <f t="shared" si="32"/>
        <v>0</v>
      </c>
      <c r="AQ41" s="219">
        <f t="shared" si="33"/>
        <v>0</v>
      </c>
      <c r="AR41" s="219">
        <f t="shared" si="34"/>
        <v>0</v>
      </c>
    </row>
    <row r="42" spans="1:44" ht="16" thickTop="1" x14ac:dyDescent="0.2">
      <c r="A42" s="20" t="s">
        <v>789</v>
      </c>
      <c r="B42" s="153" t="s">
        <v>180</v>
      </c>
      <c r="C42" s="5">
        <f>Roscas!K32</f>
        <v>164.17524521542708</v>
      </c>
      <c r="D42" s="5">
        <v>0</v>
      </c>
      <c r="E42" s="5">
        <v>0</v>
      </c>
      <c r="F42" s="5">
        <v>0</v>
      </c>
      <c r="G42" s="5">
        <v>0</v>
      </c>
      <c r="H42" s="5">
        <v>0</v>
      </c>
      <c r="I42" s="219">
        <f t="shared" ref="I42:I46" si="83">_xlfn.IFNA(C42/$J$1,0)</f>
        <v>364.83387825650465</v>
      </c>
      <c r="J42" s="219">
        <f t="shared" ref="J42:J46" si="84">_xlfn.IFNA(D42/$J$1,0)</f>
        <v>0</v>
      </c>
      <c r="K42" s="219">
        <f t="shared" ref="K42:K46" si="85">_xlfn.IFNA(E42/$J$1,0)</f>
        <v>0</v>
      </c>
      <c r="L42" s="219">
        <f t="shared" ref="L42:L46" si="86">_xlfn.IFNA(F42/$J$1,0)</f>
        <v>0</v>
      </c>
      <c r="M42" s="219">
        <f t="shared" ref="M42:M46" si="87">_xlfn.IFNA(G42/$J$1,0)</f>
        <v>0</v>
      </c>
      <c r="N42" s="219">
        <f t="shared" ref="N42:N46" si="88">_xlfn.IFNA(H42/$J$1,0)</f>
        <v>0</v>
      </c>
      <c r="O42" s="32">
        <f t="shared" ref="O42:O46" si="89">_xlfn.IFNA(C42/$P$1,0)</f>
        <v>410.43811303856768</v>
      </c>
      <c r="P42" s="32">
        <f t="shared" ref="P42:P46" si="90">_xlfn.IFNA(D42/$P$1,0)</f>
        <v>0</v>
      </c>
      <c r="Q42" s="32">
        <f t="shared" ref="Q42:Q46" si="91">_xlfn.IFNA(E42/$P$1,0)</f>
        <v>0</v>
      </c>
      <c r="R42" s="32">
        <f t="shared" ref="R42:R46" si="92">_xlfn.IFNA(F42/$P$1,0)</f>
        <v>0</v>
      </c>
      <c r="S42" s="32">
        <f t="shared" ref="S42:S46" si="93">_xlfn.IFNA(G42/$P$1,0)</f>
        <v>0</v>
      </c>
      <c r="T42" s="32">
        <f t="shared" ref="T42:T46" si="94">_xlfn.IFNA(H42/$P$1,0)</f>
        <v>0</v>
      </c>
      <c r="U42" s="32">
        <f t="shared" ref="U42:U46" si="95">_xlfn.IFNA(C42/$V$1,0)</f>
        <v>469.07212918693455</v>
      </c>
      <c r="V42" s="32">
        <f t="shared" ref="V42:V46" si="96">_xlfn.IFNA(D42/$V$1,0)</f>
        <v>0</v>
      </c>
      <c r="W42" s="32">
        <f t="shared" ref="W42:W46" si="97">_xlfn.IFNA(E42/$V$1,0)</f>
        <v>0</v>
      </c>
      <c r="X42" s="32">
        <f t="shared" ref="X42:X46" si="98">_xlfn.IFNA(F42/$V$1,0)</f>
        <v>0</v>
      </c>
      <c r="Y42" s="32">
        <f t="shared" ref="Y42:Y46" si="99">_xlfn.IFNA(G42/$V$1,0)</f>
        <v>0</v>
      </c>
      <c r="Z42" s="32">
        <f t="shared" ref="Z42:Z46" si="100">_xlfn.IFNA(H42/$V$1,0)</f>
        <v>0</v>
      </c>
      <c r="AA42" s="32">
        <f t="shared" ref="AA42:AA46" si="101">_xlfn.IFNA(C42/$AB$1,0)</f>
        <v>547.25081738475694</v>
      </c>
      <c r="AB42" s="32">
        <f t="shared" ref="AB42:AB46" si="102">_xlfn.IFNA(D42/$AB$1,0)</f>
        <v>0</v>
      </c>
      <c r="AC42" s="32">
        <f t="shared" ref="AC42:AC46" si="103">_xlfn.IFNA(E42/$AB$1,0)</f>
        <v>0</v>
      </c>
      <c r="AD42" s="32">
        <f t="shared" ref="AD42:AD46" si="104">_xlfn.IFNA(F42/$AB$1,0)</f>
        <v>0</v>
      </c>
      <c r="AE42" s="32">
        <f t="shared" ref="AE42:AE46" si="105">_xlfn.IFNA(G42/$AB$1,0)</f>
        <v>0</v>
      </c>
      <c r="AF42" s="32">
        <f t="shared" ref="AF42:AF46" si="106">_xlfn.IFNA(H42/$AB$1,0)</f>
        <v>0</v>
      </c>
      <c r="AG42" s="229">
        <v>32</v>
      </c>
      <c r="AH42" s="229"/>
      <c r="AI42" s="229"/>
      <c r="AJ42" s="229"/>
      <c r="AK42" s="229"/>
      <c r="AL42" s="229"/>
      <c r="AM42" s="219">
        <f t="shared" ref="AM42:AM46" si="107">_xlfn.IFNA(C42/$AN$1,0)</f>
        <v>364.83387825650465</v>
      </c>
      <c r="AN42" s="219">
        <f t="shared" ref="AN42:AN46" si="108">_xlfn.IFNA(D42/$AN$1,0)</f>
        <v>0</v>
      </c>
      <c r="AO42" s="219">
        <f t="shared" ref="AO42:AO46" si="109">_xlfn.IFNA(E42/$AN$1,0)</f>
        <v>0</v>
      </c>
      <c r="AP42" s="219">
        <f t="shared" ref="AP42:AP46" si="110">_xlfn.IFNA(F42/$AN$1,0)</f>
        <v>0</v>
      </c>
      <c r="AQ42" s="219">
        <f t="shared" ref="AQ42:AQ46" si="111">_xlfn.IFNA(G42/$AN$1,0)</f>
        <v>0</v>
      </c>
      <c r="AR42" s="219">
        <f t="shared" ref="AR42:AR46" si="112">_xlfn.IFNA(H42/$AN$1,0)</f>
        <v>0</v>
      </c>
    </row>
    <row r="43" spans="1:44" x14ac:dyDescent="0.2">
      <c r="B43" s="124" t="s">
        <v>790</v>
      </c>
      <c r="C43" s="13">
        <f>Roscas!O32</f>
        <v>143.30807833648691</v>
      </c>
      <c r="D43" s="13"/>
      <c r="E43" s="13"/>
      <c r="F43" s="13"/>
      <c r="G43" s="13"/>
      <c r="H43" s="13"/>
      <c r="I43" s="219">
        <f t="shared" si="83"/>
        <v>318.46239630330427</v>
      </c>
      <c r="J43" s="219">
        <f t="shared" si="84"/>
        <v>0</v>
      </c>
      <c r="K43" s="219">
        <f t="shared" si="85"/>
        <v>0</v>
      </c>
      <c r="L43" s="219">
        <f t="shared" si="86"/>
        <v>0</v>
      </c>
      <c r="M43" s="219">
        <f t="shared" si="87"/>
        <v>0</v>
      </c>
      <c r="N43" s="219">
        <f t="shared" si="88"/>
        <v>0</v>
      </c>
      <c r="O43" s="32">
        <f t="shared" si="89"/>
        <v>358.27019584121729</v>
      </c>
      <c r="P43" s="32">
        <f t="shared" si="90"/>
        <v>0</v>
      </c>
      <c r="Q43" s="32">
        <f t="shared" si="91"/>
        <v>0</v>
      </c>
      <c r="R43" s="32">
        <f t="shared" si="92"/>
        <v>0</v>
      </c>
      <c r="S43" s="32">
        <f t="shared" si="93"/>
        <v>0</v>
      </c>
      <c r="T43" s="32">
        <f t="shared" si="94"/>
        <v>0</v>
      </c>
      <c r="U43" s="32">
        <f t="shared" si="95"/>
        <v>409.45165238996265</v>
      </c>
      <c r="V43" s="32">
        <f t="shared" si="96"/>
        <v>0</v>
      </c>
      <c r="W43" s="32">
        <f t="shared" si="97"/>
        <v>0</v>
      </c>
      <c r="X43" s="32">
        <f t="shared" si="98"/>
        <v>0</v>
      </c>
      <c r="Y43" s="32">
        <f t="shared" si="99"/>
        <v>0</v>
      </c>
      <c r="Z43" s="32">
        <f t="shared" si="100"/>
        <v>0</v>
      </c>
      <c r="AA43" s="32">
        <f t="shared" si="101"/>
        <v>477.69359445495638</v>
      </c>
      <c r="AB43" s="32">
        <f t="shared" si="102"/>
        <v>0</v>
      </c>
      <c r="AC43" s="32">
        <f t="shared" si="103"/>
        <v>0</v>
      </c>
      <c r="AD43" s="32">
        <f t="shared" si="104"/>
        <v>0</v>
      </c>
      <c r="AE43" s="32">
        <f t="shared" si="105"/>
        <v>0</v>
      </c>
      <c r="AF43" s="32">
        <f t="shared" si="106"/>
        <v>0</v>
      </c>
      <c r="AG43" s="229">
        <v>48</v>
      </c>
      <c r="AH43" s="229"/>
      <c r="AI43" s="229"/>
      <c r="AJ43" s="229"/>
      <c r="AK43" s="229"/>
      <c r="AL43" s="229"/>
      <c r="AM43" s="219">
        <f t="shared" si="107"/>
        <v>318.46239630330427</v>
      </c>
      <c r="AN43" s="219">
        <f t="shared" si="108"/>
        <v>0</v>
      </c>
      <c r="AO43" s="219">
        <f t="shared" si="109"/>
        <v>0</v>
      </c>
      <c r="AP43" s="219">
        <f t="shared" si="110"/>
        <v>0</v>
      </c>
      <c r="AQ43" s="219">
        <f t="shared" si="111"/>
        <v>0</v>
      </c>
      <c r="AR43" s="219">
        <f t="shared" si="112"/>
        <v>0</v>
      </c>
    </row>
    <row r="44" spans="1:44" x14ac:dyDescent="0.2">
      <c r="B44" s="124" t="s">
        <v>421</v>
      </c>
      <c r="C44" s="13">
        <f>Roscas!G32</f>
        <v>130.60666656985225</v>
      </c>
      <c r="D44" s="13"/>
      <c r="E44" s="13"/>
      <c r="F44" s="13"/>
      <c r="G44" s="13"/>
      <c r="H44" s="13"/>
      <c r="I44" s="219">
        <f t="shared" si="83"/>
        <v>290.23703682189387</v>
      </c>
      <c r="J44" s="219">
        <f t="shared" si="84"/>
        <v>0</v>
      </c>
      <c r="K44" s="219">
        <f t="shared" si="85"/>
        <v>0</v>
      </c>
      <c r="L44" s="219">
        <f t="shared" si="86"/>
        <v>0</v>
      </c>
      <c r="M44" s="219">
        <f t="shared" si="87"/>
        <v>0</v>
      </c>
      <c r="N44" s="219">
        <f t="shared" si="88"/>
        <v>0</v>
      </c>
      <c r="O44" s="32">
        <f t="shared" si="89"/>
        <v>326.51666642463061</v>
      </c>
      <c r="P44" s="32">
        <f t="shared" si="90"/>
        <v>0</v>
      </c>
      <c r="Q44" s="32">
        <f t="shared" si="91"/>
        <v>0</v>
      </c>
      <c r="R44" s="32">
        <f t="shared" si="92"/>
        <v>0</v>
      </c>
      <c r="S44" s="32">
        <f t="shared" si="93"/>
        <v>0</v>
      </c>
      <c r="T44" s="32">
        <f t="shared" si="94"/>
        <v>0</v>
      </c>
      <c r="U44" s="32">
        <f t="shared" si="95"/>
        <v>373.16190448529215</v>
      </c>
      <c r="V44" s="32">
        <f t="shared" si="96"/>
        <v>0</v>
      </c>
      <c r="W44" s="32">
        <f t="shared" si="97"/>
        <v>0</v>
      </c>
      <c r="X44" s="32">
        <f t="shared" si="98"/>
        <v>0</v>
      </c>
      <c r="Y44" s="32">
        <f t="shared" si="99"/>
        <v>0</v>
      </c>
      <c r="Z44" s="32">
        <f t="shared" si="100"/>
        <v>0</v>
      </c>
      <c r="AA44" s="32">
        <f t="shared" si="101"/>
        <v>435.35555523284086</v>
      </c>
      <c r="AB44" s="32">
        <f t="shared" si="102"/>
        <v>0</v>
      </c>
      <c r="AC44" s="32">
        <f t="shared" si="103"/>
        <v>0</v>
      </c>
      <c r="AD44" s="32">
        <f t="shared" si="104"/>
        <v>0</v>
      </c>
      <c r="AE44" s="32">
        <f t="shared" si="105"/>
        <v>0</v>
      </c>
      <c r="AF44" s="32">
        <f t="shared" si="106"/>
        <v>0</v>
      </c>
      <c r="AG44" s="229">
        <v>30</v>
      </c>
      <c r="AH44" s="229"/>
      <c r="AI44" s="229"/>
      <c r="AJ44" s="229"/>
      <c r="AK44" s="229"/>
      <c r="AL44" s="229"/>
      <c r="AM44" s="219">
        <f t="shared" si="107"/>
        <v>290.23703682189387</v>
      </c>
      <c r="AN44" s="219">
        <f t="shared" si="108"/>
        <v>0</v>
      </c>
      <c r="AO44" s="219">
        <f t="shared" si="109"/>
        <v>0</v>
      </c>
      <c r="AP44" s="219">
        <f t="shared" si="110"/>
        <v>0</v>
      </c>
      <c r="AQ44" s="219">
        <f t="shared" si="111"/>
        <v>0</v>
      </c>
      <c r="AR44" s="219">
        <f t="shared" si="112"/>
        <v>0</v>
      </c>
    </row>
    <row r="45" spans="1:44" x14ac:dyDescent="0.2">
      <c r="B45" s="124" t="s">
        <v>419</v>
      </c>
      <c r="C45" s="13">
        <f>Roscas!C32</f>
        <v>115.05403398520666</v>
      </c>
      <c r="D45" s="13"/>
      <c r="E45" s="13"/>
      <c r="F45" s="13"/>
      <c r="G45" s="13"/>
      <c r="H45" s="13"/>
      <c r="I45" s="219">
        <f t="shared" si="83"/>
        <v>255.67563107823702</v>
      </c>
      <c r="J45" s="219">
        <f t="shared" si="84"/>
        <v>0</v>
      </c>
      <c r="K45" s="219">
        <f t="shared" si="85"/>
        <v>0</v>
      </c>
      <c r="L45" s="219">
        <f t="shared" si="86"/>
        <v>0</v>
      </c>
      <c r="M45" s="219">
        <f t="shared" si="87"/>
        <v>0</v>
      </c>
      <c r="N45" s="219">
        <f t="shared" si="88"/>
        <v>0</v>
      </c>
      <c r="O45" s="32">
        <f t="shared" si="89"/>
        <v>287.63508496301665</v>
      </c>
      <c r="P45" s="32">
        <f t="shared" si="90"/>
        <v>0</v>
      </c>
      <c r="Q45" s="32">
        <f t="shared" si="91"/>
        <v>0</v>
      </c>
      <c r="R45" s="32">
        <f t="shared" si="92"/>
        <v>0</v>
      </c>
      <c r="S45" s="32">
        <f t="shared" si="93"/>
        <v>0</v>
      </c>
      <c r="T45" s="32">
        <f t="shared" si="94"/>
        <v>0</v>
      </c>
      <c r="U45" s="32">
        <f t="shared" si="95"/>
        <v>328.72581138630477</v>
      </c>
      <c r="V45" s="32">
        <f t="shared" si="96"/>
        <v>0</v>
      </c>
      <c r="W45" s="32">
        <f t="shared" si="97"/>
        <v>0</v>
      </c>
      <c r="X45" s="32">
        <f t="shared" si="98"/>
        <v>0</v>
      </c>
      <c r="Y45" s="32">
        <f t="shared" si="99"/>
        <v>0</v>
      </c>
      <c r="Z45" s="32">
        <f t="shared" si="100"/>
        <v>0</v>
      </c>
      <c r="AA45" s="32">
        <f t="shared" si="101"/>
        <v>383.51344661735556</v>
      </c>
      <c r="AB45" s="32">
        <f t="shared" si="102"/>
        <v>0</v>
      </c>
      <c r="AC45" s="32">
        <f t="shared" si="103"/>
        <v>0</v>
      </c>
      <c r="AD45" s="32">
        <f t="shared" si="104"/>
        <v>0</v>
      </c>
      <c r="AE45" s="32">
        <f t="shared" si="105"/>
        <v>0</v>
      </c>
      <c r="AF45" s="32">
        <f t="shared" si="106"/>
        <v>0</v>
      </c>
      <c r="AG45" s="229">
        <v>30</v>
      </c>
      <c r="AH45" s="229"/>
      <c r="AI45" s="229"/>
      <c r="AJ45" s="229"/>
      <c r="AK45" s="229"/>
      <c r="AL45" s="229"/>
      <c r="AM45" s="219">
        <f t="shared" si="107"/>
        <v>255.67563107823702</v>
      </c>
      <c r="AN45" s="219">
        <f t="shared" si="108"/>
        <v>0</v>
      </c>
      <c r="AO45" s="219">
        <f t="shared" si="109"/>
        <v>0</v>
      </c>
      <c r="AP45" s="219">
        <f t="shared" si="110"/>
        <v>0</v>
      </c>
      <c r="AQ45" s="219">
        <f t="shared" si="111"/>
        <v>0</v>
      </c>
      <c r="AR45" s="219">
        <f t="shared" si="112"/>
        <v>0</v>
      </c>
    </row>
    <row r="46" spans="1:44" x14ac:dyDescent="0.2">
      <c r="B46" s="124" t="s">
        <v>431</v>
      </c>
      <c r="C46" s="13">
        <f>Roscas!S32</f>
        <v>196.87981722200817</v>
      </c>
      <c r="D46" s="13"/>
      <c r="E46" s="13"/>
      <c r="F46" s="13"/>
      <c r="G46" s="13"/>
      <c r="H46" s="13"/>
      <c r="I46" s="219">
        <f t="shared" si="83"/>
        <v>437.51070493779594</v>
      </c>
      <c r="J46" s="219">
        <f t="shared" si="84"/>
        <v>0</v>
      </c>
      <c r="K46" s="219">
        <f t="shared" si="85"/>
        <v>0</v>
      </c>
      <c r="L46" s="219">
        <f t="shared" si="86"/>
        <v>0</v>
      </c>
      <c r="M46" s="219">
        <f t="shared" si="87"/>
        <v>0</v>
      </c>
      <c r="N46" s="219">
        <f t="shared" si="88"/>
        <v>0</v>
      </c>
      <c r="O46" s="32">
        <f t="shared" si="89"/>
        <v>492.1995430550204</v>
      </c>
      <c r="P46" s="32">
        <f t="shared" si="90"/>
        <v>0</v>
      </c>
      <c r="Q46" s="32">
        <f t="shared" si="91"/>
        <v>0</v>
      </c>
      <c r="R46" s="32">
        <f t="shared" si="92"/>
        <v>0</v>
      </c>
      <c r="S46" s="32">
        <f t="shared" si="93"/>
        <v>0</v>
      </c>
      <c r="T46" s="32">
        <f t="shared" si="94"/>
        <v>0</v>
      </c>
      <c r="U46" s="32">
        <f t="shared" si="95"/>
        <v>562.51376349145198</v>
      </c>
      <c r="V46" s="32">
        <f t="shared" si="96"/>
        <v>0</v>
      </c>
      <c r="W46" s="32">
        <f t="shared" si="97"/>
        <v>0</v>
      </c>
      <c r="X46" s="32">
        <f t="shared" si="98"/>
        <v>0</v>
      </c>
      <c r="Y46" s="32">
        <f t="shared" si="99"/>
        <v>0</v>
      </c>
      <c r="Z46" s="32">
        <f t="shared" si="100"/>
        <v>0</v>
      </c>
      <c r="AA46" s="32">
        <f t="shared" si="101"/>
        <v>656.2660574066939</v>
      </c>
      <c r="AB46" s="32">
        <f t="shared" si="102"/>
        <v>0</v>
      </c>
      <c r="AC46" s="32">
        <f t="shared" si="103"/>
        <v>0</v>
      </c>
      <c r="AD46" s="32">
        <f t="shared" si="104"/>
        <v>0</v>
      </c>
      <c r="AE46" s="32">
        <f t="shared" si="105"/>
        <v>0</v>
      </c>
      <c r="AF46" s="32">
        <f t="shared" si="106"/>
        <v>0</v>
      </c>
      <c r="AG46" s="229">
        <v>32</v>
      </c>
      <c r="AH46" s="229"/>
      <c r="AI46" s="229"/>
      <c r="AJ46" s="229"/>
      <c r="AK46" s="229"/>
      <c r="AL46" s="229"/>
      <c r="AM46" s="219">
        <f t="shared" si="107"/>
        <v>437.51070493779594</v>
      </c>
      <c r="AN46" s="219">
        <f t="shared" si="108"/>
        <v>0</v>
      </c>
      <c r="AO46" s="219">
        <f t="shared" si="109"/>
        <v>0</v>
      </c>
      <c r="AP46" s="219">
        <f t="shared" si="110"/>
        <v>0</v>
      </c>
      <c r="AQ46" s="219">
        <f t="shared" si="111"/>
        <v>0</v>
      </c>
      <c r="AR46" s="219">
        <f t="shared" si="112"/>
        <v>0</v>
      </c>
    </row>
    <row r="47" spans="1:44" x14ac:dyDescent="0.2">
      <c r="I47" s="219">
        <f t="shared" si="59"/>
        <v>0</v>
      </c>
      <c r="J47" s="219">
        <f t="shared" si="60"/>
        <v>0</v>
      </c>
      <c r="K47" s="219">
        <f t="shared" si="61"/>
        <v>0</v>
      </c>
      <c r="L47" s="219">
        <f t="shared" si="62"/>
        <v>0</v>
      </c>
      <c r="M47" s="219">
        <f t="shared" si="63"/>
        <v>0</v>
      </c>
      <c r="N47" s="219">
        <f t="shared" si="64"/>
        <v>0</v>
      </c>
      <c r="O47" s="32">
        <f t="shared" si="65"/>
        <v>0</v>
      </c>
      <c r="P47" s="32">
        <f t="shared" si="66"/>
        <v>0</v>
      </c>
      <c r="Q47" s="32">
        <f t="shared" si="67"/>
        <v>0</v>
      </c>
      <c r="R47" s="32">
        <f t="shared" si="68"/>
        <v>0</v>
      </c>
      <c r="S47" s="32">
        <f t="shared" si="69"/>
        <v>0</v>
      </c>
      <c r="T47" s="32">
        <f t="shared" si="70"/>
        <v>0</v>
      </c>
      <c r="U47" s="32">
        <f t="shared" si="71"/>
        <v>0</v>
      </c>
      <c r="V47" s="32">
        <f t="shared" si="72"/>
        <v>0</v>
      </c>
      <c r="W47" s="32">
        <f t="shared" si="73"/>
        <v>0</v>
      </c>
      <c r="X47" s="32">
        <f t="shared" si="74"/>
        <v>0</v>
      </c>
      <c r="Y47" s="32">
        <f t="shared" si="75"/>
        <v>0</v>
      </c>
      <c r="Z47" s="32">
        <f t="shared" si="76"/>
        <v>0</v>
      </c>
      <c r="AA47" s="32">
        <f t="shared" si="77"/>
        <v>0</v>
      </c>
      <c r="AB47" s="32">
        <f t="shared" si="78"/>
        <v>0</v>
      </c>
      <c r="AC47" s="32">
        <f t="shared" si="79"/>
        <v>0</v>
      </c>
      <c r="AD47" s="32">
        <f t="shared" si="80"/>
        <v>0</v>
      </c>
      <c r="AE47" s="32">
        <f t="shared" si="81"/>
        <v>0</v>
      </c>
      <c r="AF47" s="32">
        <f t="shared" si="82"/>
        <v>0</v>
      </c>
      <c r="AG47" s="229"/>
      <c r="AH47" s="229"/>
      <c r="AI47" s="229"/>
      <c r="AJ47" s="229"/>
      <c r="AK47" s="229"/>
      <c r="AL47" s="229"/>
      <c r="AM47" s="219">
        <f t="shared" si="29"/>
        <v>0</v>
      </c>
      <c r="AN47" s="219">
        <f t="shared" si="30"/>
        <v>0</v>
      </c>
      <c r="AO47" s="219">
        <f t="shared" si="31"/>
        <v>0</v>
      </c>
      <c r="AP47" s="219">
        <f t="shared" si="32"/>
        <v>0</v>
      </c>
      <c r="AQ47" s="219">
        <f t="shared" si="33"/>
        <v>0</v>
      </c>
      <c r="AR47" s="219">
        <f t="shared" si="34"/>
        <v>0</v>
      </c>
    </row>
    <row r="48" spans="1:44" x14ac:dyDescent="0.2">
      <c r="I48" s="219"/>
      <c r="J48" s="219"/>
      <c r="K48" s="219"/>
      <c r="L48" s="219"/>
      <c r="M48" s="219"/>
      <c r="N48" s="219"/>
      <c r="O48" s="32"/>
      <c r="P48" s="32"/>
      <c r="Q48" s="32"/>
      <c r="R48" s="32"/>
      <c r="S48" s="32"/>
      <c r="T48" s="32"/>
      <c r="U48" s="32"/>
      <c r="V48" s="32"/>
      <c r="W48" s="32"/>
      <c r="X48" s="32"/>
      <c r="Y48" s="32"/>
      <c r="Z48" s="32"/>
      <c r="AA48" s="32"/>
      <c r="AB48" s="32"/>
      <c r="AC48" s="32"/>
      <c r="AD48" s="32"/>
      <c r="AE48" s="32"/>
      <c r="AF48" s="32"/>
      <c r="AG48" s="222"/>
      <c r="AH48" s="222"/>
      <c r="AI48" s="222"/>
      <c r="AJ48" s="222"/>
      <c r="AK48" s="222"/>
      <c r="AL48" s="222"/>
      <c r="AM48" s="219"/>
      <c r="AN48" s="219"/>
      <c r="AO48" s="219"/>
      <c r="AP48" s="219"/>
      <c r="AQ48" s="219"/>
      <c r="AR48" s="219"/>
    </row>
    <row r="49" spans="1:44" ht="16" thickBot="1" x14ac:dyDescent="0.25">
      <c r="C49" s="143" t="s">
        <v>375</v>
      </c>
      <c r="D49" s="143" t="s">
        <v>370</v>
      </c>
      <c r="E49" s="143" t="s">
        <v>371</v>
      </c>
      <c r="F49" s="143" t="s">
        <v>372</v>
      </c>
      <c r="G49" s="143" t="s">
        <v>373</v>
      </c>
      <c r="H49" s="143" t="s">
        <v>413</v>
      </c>
      <c r="I49" s="218" t="s">
        <v>375</v>
      </c>
      <c r="J49" s="218" t="s">
        <v>370</v>
      </c>
      <c r="K49" s="218" t="s">
        <v>371</v>
      </c>
      <c r="L49" s="218" t="s">
        <v>372</v>
      </c>
      <c r="M49" s="218" t="s">
        <v>373</v>
      </c>
      <c r="N49" s="218" t="s">
        <v>413</v>
      </c>
      <c r="O49" s="143" t="s">
        <v>375</v>
      </c>
      <c r="P49" s="143" t="s">
        <v>370</v>
      </c>
      <c r="Q49" s="143" t="s">
        <v>371</v>
      </c>
      <c r="R49" s="143" t="s">
        <v>372</v>
      </c>
      <c r="S49" s="143" t="s">
        <v>373</v>
      </c>
      <c r="T49" s="143" t="s">
        <v>413</v>
      </c>
      <c r="U49" s="143" t="s">
        <v>375</v>
      </c>
      <c r="V49" s="143" t="s">
        <v>370</v>
      </c>
      <c r="W49" s="143" t="s">
        <v>371</v>
      </c>
      <c r="X49" s="143" t="s">
        <v>372</v>
      </c>
      <c r="Y49" s="143" t="s">
        <v>373</v>
      </c>
      <c r="Z49" s="143" t="s">
        <v>413</v>
      </c>
      <c r="AA49" s="143" t="s">
        <v>375</v>
      </c>
      <c r="AB49" s="143" t="s">
        <v>370</v>
      </c>
      <c r="AC49" s="143" t="s">
        <v>371</v>
      </c>
      <c r="AD49" s="143" t="s">
        <v>372</v>
      </c>
      <c r="AE49" s="143" t="s">
        <v>373</v>
      </c>
      <c r="AF49" s="143" t="s">
        <v>413</v>
      </c>
      <c r="AG49" s="226" t="s">
        <v>375</v>
      </c>
      <c r="AH49" s="226" t="s">
        <v>370</v>
      </c>
      <c r="AI49" s="226" t="s">
        <v>371</v>
      </c>
      <c r="AJ49" s="226" t="s">
        <v>372</v>
      </c>
      <c r="AK49" s="226" t="s">
        <v>373</v>
      </c>
      <c r="AL49" s="226" t="s">
        <v>413</v>
      </c>
      <c r="AM49" s="218" t="s">
        <v>375</v>
      </c>
      <c r="AN49" s="218" t="s">
        <v>370</v>
      </c>
      <c r="AO49" s="218" t="s">
        <v>371</v>
      </c>
      <c r="AP49" s="218" t="s">
        <v>372</v>
      </c>
      <c r="AQ49" s="218" t="s">
        <v>373</v>
      </c>
      <c r="AR49" s="218" t="s">
        <v>413</v>
      </c>
    </row>
    <row r="50" spans="1:44" x14ac:dyDescent="0.2">
      <c r="A50" s="20" t="s">
        <v>434</v>
      </c>
      <c r="B50" s="124" t="s">
        <v>400</v>
      </c>
      <c r="C50" s="5">
        <v>0</v>
      </c>
      <c r="D50" s="13">
        <f>AVERAGE(D10,D11,D13,D14)</f>
        <v>68.724739361495978</v>
      </c>
      <c r="E50" s="13">
        <f>AVERAGE(E10:E12,E14:E15)</f>
        <v>164.66063674098109</v>
      </c>
      <c r="F50" s="13">
        <f>AVERAGE(F10:F12,F14:F17)</f>
        <v>220.88222964850706</v>
      </c>
      <c r="G50" s="13">
        <f>AVERAGE(G10:G12,G14:G17)</f>
        <v>350.48547215434331</v>
      </c>
      <c r="H50" s="13">
        <f>AVERAGE(H10:H12,H14:H17)</f>
        <v>25.737577103042831</v>
      </c>
      <c r="I50" s="219">
        <f t="shared" si="5"/>
        <v>0</v>
      </c>
      <c r="J50" s="219">
        <f t="shared" si="6"/>
        <v>152.72164302554663</v>
      </c>
      <c r="K50" s="219">
        <f t="shared" si="7"/>
        <v>365.91252609106908</v>
      </c>
      <c r="L50" s="219">
        <f t="shared" si="8"/>
        <v>490.84939921890458</v>
      </c>
      <c r="M50" s="219">
        <f t="shared" si="9"/>
        <v>778.85660478742955</v>
      </c>
      <c r="N50" s="219">
        <f t="shared" si="10"/>
        <v>57.194615784539621</v>
      </c>
      <c r="O50" s="32">
        <f t="shared" ref="O50" si="113">_xlfn.IFNA(C50/$P$1,0)</f>
        <v>0</v>
      </c>
      <c r="P50" s="32">
        <f t="shared" ref="P50" si="114">_xlfn.IFNA(D50/$P$1,0)</f>
        <v>171.81184840373993</v>
      </c>
      <c r="Q50" s="32">
        <f t="shared" ref="Q50" si="115">_xlfn.IFNA(E50/$P$1,0)</f>
        <v>411.65159185245273</v>
      </c>
      <c r="R50" s="32">
        <f t="shared" ref="R50" si="116">_xlfn.IFNA(F50/$P$1,0)</f>
        <v>552.20557412126766</v>
      </c>
      <c r="S50" s="32">
        <f t="shared" ref="S50" si="117">_xlfn.IFNA(G50/$P$1,0)</f>
        <v>876.2136803858582</v>
      </c>
      <c r="T50" s="32">
        <f t="shared" ref="T50" si="118">_xlfn.IFNA(H50/$P$1,0)</f>
        <v>64.343942757607067</v>
      </c>
      <c r="U50" s="32">
        <f t="shared" ref="U50" si="119">_xlfn.IFNA(C50/$V$1,0)</f>
        <v>0</v>
      </c>
      <c r="V50" s="32">
        <f t="shared" ref="V50" si="120">_xlfn.IFNA(D50/$V$1,0)</f>
        <v>196.35639817570279</v>
      </c>
      <c r="W50" s="32">
        <f t="shared" ref="W50" si="121">_xlfn.IFNA(E50/$V$1,0)</f>
        <v>470.45896211708884</v>
      </c>
      <c r="X50" s="32">
        <f t="shared" ref="X50" si="122">_xlfn.IFNA(F50/$V$1,0)</f>
        <v>631.09208471002023</v>
      </c>
      <c r="Y50" s="32">
        <f t="shared" ref="Y50" si="123">_xlfn.IFNA(G50/$V$1,0)</f>
        <v>1001.3870632981238</v>
      </c>
      <c r="Z50" s="32">
        <f t="shared" ref="Z50" si="124">_xlfn.IFNA(H50/$V$1,0)</f>
        <v>73.535934580122372</v>
      </c>
      <c r="AA50" s="32">
        <f t="shared" ref="AA50" si="125">_xlfn.IFNA(C50/$AB$1,0)</f>
        <v>0</v>
      </c>
      <c r="AB50" s="32">
        <f t="shared" ref="AB50" si="126">_xlfn.IFNA(D50/$AB$1,0)</f>
        <v>229.08246453831993</v>
      </c>
      <c r="AC50" s="32">
        <f t="shared" ref="AC50" si="127">_xlfn.IFNA(E50/$AB$1,0)</f>
        <v>548.86878913660371</v>
      </c>
      <c r="AD50" s="32">
        <f t="shared" ref="AD50" si="128">_xlfn.IFNA(F50/$AB$1,0)</f>
        <v>736.27409882835695</v>
      </c>
      <c r="AE50" s="32">
        <f t="shared" ref="AE50" si="129">_xlfn.IFNA(G50/$AB$1,0)</f>
        <v>1168.2849071811445</v>
      </c>
      <c r="AF50" s="32">
        <f t="shared" ref="AF50" si="130">_xlfn.IFNA(H50/$AB$1,0)</f>
        <v>85.791923676809446</v>
      </c>
      <c r="AG50" s="227"/>
      <c r="AH50" s="227"/>
      <c r="AI50" s="227"/>
      <c r="AJ50" s="227"/>
      <c r="AK50" s="227"/>
      <c r="AL50" s="227"/>
      <c r="AM50" s="219">
        <f t="shared" ref="AM50:AM53" si="131">_xlfn.IFNA(AG50/$J$1,0)</f>
        <v>0</v>
      </c>
      <c r="AN50" s="219">
        <f t="shared" ref="AN50:AN53" si="132">_xlfn.IFNA(AH50/$J$1,0)</f>
        <v>0</v>
      </c>
      <c r="AO50" s="219">
        <f t="shared" ref="AO50:AO53" si="133">_xlfn.IFNA(AI50/$J$1,0)</f>
        <v>0</v>
      </c>
      <c r="AP50" s="219">
        <f t="shared" ref="AP50:AP53" si="134">_xlfn.IFNA(AJ50/$J$1,0)</f>
        <v>0</v>
      </c>
      <c r="AQ50" s="219">
        <f t="shared" ref="AQ50:AQ53" si="135">_xlfn.IFNA(AK50/$J$1,0)</f>
        <v>0</v>
      </c>
      <c r="AR50" s="219">
        <f t="shared" ref="AR50:AR53" si="136">_xlfn.IFNA(AL50/$J$1,0)</f>
        <v>0</v>
      </c>
    </row>
    <row r="51" spans="1:44" x14ac:dyDescent="0.2">
      <c r="B51" s="124" t="s">
        <v>414</v>
      </c>
      <c r="C51" s="13">
        <f>AVERAGE(C3:C6)</f>
        <v>19.176337998092297</v>
      </c>
      <c r="D51" s="13">
        <f>AVERAGE(D3:D9)</f>
        <v>0</v>
      </c>
      <c r="E51" s="13">
        <f>AVERAGE(E3:E9)</f>
        <v>0</v>
      </c>
      <c r="F51" s="13">
        <f>AVERAGE(F3:F5)</f>
        <v>141.39691474672452</v>
      </c>
      <c r="G51" s="13">
        <f>AVERAGE(G3:G5)</f>
        <v>236.54777488200969</v>
      </c>
      <c r="H51" s="13">
        <f>AVERAGE(H3:H5)</f>
        <v>32.269111860251215</v>
      </c>
      <c r="I51" s="219">
        <f t="shared" si="5"/>
        <v>42.614084440205104</v>
      </c>
      <c r="J51" s="219">
        <f t="shared" si="6"/>
        <v>0</v>
      </c>
      <c r="K51" s="219">
        <f t="shared" si="7"/>
        <v>0</v>
      </c>
      <c r="L51" s="219">
        <f t="shared" si="8"/>
        <v>314.21536610383225</v>
      </c>
      <c r="M51" s="219">
        <f t="shared" si="9"/>
        <v>525.66172196002151</v>
      </c>
      <c r="N51" s="219">
        <f t="shared" si="10"/>
        <v>71.70913746722492</v>
      </c>
      <c r="O51" s="32">
        <f t="shared" ref="O51:O53" si="137">_xlfn.IFNA(C51/$P$1,0)</f>
        <v>47.940844995230741</v>
      </c>
      <c r="P51" s="32">
        <f t="shared" ref="P51:P53" si="138">_xlfn.IFNA(D51/$P$1,0)</f>
        <v>0</v>
      </c>
      <c r="Q51" s="32">
        <f t="shared" ref="Q51:Q53" si="139">_xlfn.IFNA(E51/$P$1,0)</f>
        <v>0</v>
      </c>
      <c r="R51" s="32">
        <f t="shared" ref="R51:R53" si="140">_xlfn.IFNA(F51/$P$1,0)</f>
        <v>353.4922868668113</v>
      </c>
      <c r="S51" s="32">
        <f t="shared" ref="S51:S53" si="141">_xlfn.IFNA(G51/$P$1,0)</f>
        <v>591.36943720502416</v>
      </c>
      <c r="T51" s="32">
        <f t="shared" ref="T51:T53" si="142">_xlfn.IFNA(H51/$P$1,0)</f>
        <v>80.67277965062803</v>
      </c>
      <c r="U51" s="32">
        <f t="shared" ref="U51:U53" si="143">_xlfn.IFNA(C51/$V$1,0)</f>
        <v>54.789537137406569</v>
      </c>
      <c r="V51" s="32">
        <f t="shared" ref="V51:V53" si="144">_xlfn.IFNA(D51/$V$1,0)</f>
        <v>0</v>
      </c>
      <c r="W51" s="32">
        <f t="shared" ref="W51:W53" si="145">_xlfn.IFNA(E51/$V$1,0)</f>
        <v>0</v>
      </c>
      <c r="X51" s="32">
        <f t="shared" ref="X51:X53" si="146">_xlfn.IFNA(F51/$V$1,0)</f>
        <v>403.9911849906415</v>
      </c>
      <c r="Y51" s="32">
        <f t="shared" ref="Y51:Y53" si="147">_xlfn.IFNA(G51/$V$1,0)</f>
        <v>675.85078537717061</v>
      </c>
      <c r="Z51" s="32">
        <f t="shared" ref="Z51:Z53" si="148">_xlfn.IFNA(H51/$V$1,0)</f>
        <v>92.197462457860624</v>
      </c>
      <c r="AA51" s="32">
        <f t="shared" ref="AA51:AA53" si="149">_xlfn.IFNA(C51/$AB$1,0)</f>
        <v>63.921126660307657</v>
      </c>
      <c r="AB51" s="32">
        <f t="shared" ref="AB51:AB53" si="150">_xlfn.IFNA(D51/$AB$1,0)</f>
        <v>0</v>
      </c>
      <c r="AC51" s="32">
        <f t="shared" ref="AC51:AC53" si="151">_xlfn.IFNA(E51/$AB$1,0)</f>
        <v>0</v>
      </c>
      <c r="AD51" s="32">
        <f t="shared" ref="AD51:AD53" si="152">_xlfn.IFNA(F51/$AB$1,0)</f>
        <v>471.32304915574844</v>
      </c>
      <c r="AE51" s="32">
        <f t="shared" ref="AE51:AE53" si="153">_xlfn.IFNA(G51/$AB$1,0)</f>
        <v>788.49258294003232</v>
      </c>
      <c r="AF51" s="32">
        <f t="shared" ref="AF51:AF53" si="154">_xlfn.IFNA(H51/$AB$1,0)</f>
        <v>107.56370620083739</v>
      </c>
      <c r="AG51" s="227"/>
      <c r="AH51" s="227"/>
      <c r="AI51" s="227"/>
      <c r="AJ51" s="227"/>
      <c r="AK51" s="227"/>
      <c r="AL51" s="227"/>
      <c r="AM51" s="219">
        <f t="shared" si="131"/>
        <v>0</v>
      </c>
      <c r="AN51" s="219">
        <f t="shared" si="132"/>
        <v>0</v>
      </c>
      <c r="AO51" s="219">
        <f t="shared" si="133"/>
        <v>0</v>
      </c>
      <c r="AP51" s="219">
        <f t="shared" si="134"/>
        <v>0</v>
      </c>
      <c r="AQ51" s="219">
        <f t="shared" si="135"/>
        <v>0</v>
      </c>
      <c r="AR51" s="219">
        <f t="shared" si="136"/>
        <v>0</v>
      </c>
    </row>
    <row r="52" spans="1:44" x14ac:dyDescent="0.2">
      <c r="B52" s="124" t="s">
        <v>426</v>
      </c>
      <c r="C52" s="5">
        <f>IFERROR(AVERAGE(C20:C22),0)</f>
        <v>0</v>
      </c>
      <c r="D52" s="5">
        <f>IFERROR(AVERAGE(D20:D21),0)</f>
        <v>23.125880625879148</v>
      </c>
      <c r="E52" s="5">
        <f t="shared" ref="E52:H52" si="155">IFERROR(AVERAGE(E20:E22),0)</f>
        <v>32.405495132705255</v>
      </c>
      <c r="F52" s="5">
        <f t="shared" si="155"/>
        <v>39.465763355897352</v>
      </c>
      <c r="G52" s="5">
        <f>IFERROR(AVERAGE(G20:G21),0)</f>
        <v>43.884036610514862</v>
      </c>
      <c r="H52" s="5">
        <f t="shared" si="155"/>
        <v>0</v>
      </c>
      <c r="I52" s="219">
        <f t="shared" si="5"/>
        <v>0</v>
      </c>
      <c r="J52" s="219">
        <f t="shared" si="6"/>
        <v>51.390845835286996</v>
      </c>
      <c r="K52" s="219">
        <f t="shared" si="7"/>
        <v>72.012211406011673</v>
      </c>
      <c r="L52" s="219">
        <f t="shared" si="8"/>
        <v>87.701696346438553</v>
      </c>
      <c r="M52" s="219">
        <f t="shared" si="9"/>
        <v>97.520081356699691</v>
      </c>
      <c r="N52" s="219">
        <f t="shared" si="10"/>
        <v>0</v>
      </c>
      <c r="O52" s="32">
        <f t="shared" si="137"/>
        <v>0</v>
      </c>
      <c r="P52" s="32">
        <f t="shared" si="138"/>
        <v>57.81470156469787</v>
      </c>
      <c r="Q52" s="32">
        <f t="shared" si="139"/>
        <v>81.013737831763137</v>
      </c>
      <c r="R52" s="32">
        <f t="shared" si="140"/>
        <v>98.664408389743372</v>
      </c>
      <c r="S52" s="32">
        <f t="shared" si="141"/>
        <v>109.71009152628714</v>
      </c>
      <c r="T52" s="32">
        <f t="shared" si="142"/>
        <v>0</v>
      </c>
      <c r="U52" s="32">
        <f t="shared" si="143"/>
        <v>0</v>
      </c>
      <c r="V52" s="32">
        <f t="shared" si="144"/>
        <v>66.073944645368996</v>
      </c>
      <c r="W52" s="32">
        <f t="shared" si="145"/>
        <v>92.587128950586447</v>
      </c>
      <c r="X52" s="32">
        <f t="shared" si="146"/>
        <v>112.75932387399244</v>
      </c>
      <c r="Y52" s="32">
        <f t="shared" si="147"/>
        <v>125.38296174432818</v>
      </c>
      <c r="Z52" s="32">
        <f t="shared" si="148"/>
        <v>0</v>
      </c>
      <c r="AA52" s="32">
        <f t="shared" si="149"/>
        <v>0</v>
      </c>
      <c r="AB52" s="32">
        <f t="shared" si="150"/>
        <v>77.086268752930494</v>
      </c>
      <c r="AC52" s="32">
        <f t="shared" si="151"/>
        <v>108.01831710901752</v>
      </c>
      <c r="AD52" s="32">
        <f t="shared" si="152"/>
        <v>131.55254451965786</v>
      </c>
      <c r="AE52" s="32">
        <f t="shared" si="153"/>
        <v>146.28012203504954</v>
      </c>
      <c r="AF52" s="32">
        <f t="shared" si="154"/>
        <v>0</v>
      </c>
      <c r="AG52" s="227"/>
      <c r="AH52" s="227"/>
      <c r="AI52" s="227"/>
      <c r="AJ52" s="227"/>
      <c r="AK52" s="227"/>
      <c r="AL52" s="227"/>
      <c r="AM52" s="219">
        <f t="shared" si="131"/>
        <v>0</v>
      </c>
      <c r="AN52" s="219">
        <f t="shared" si="132"/>
        <v>0</v>
      </c>
      <c r="AO52" s="219">
        <f t="shared" si="133"/>
        <v>0</v>
      </c>
      <c r="AP52" s="219">
        <f t="shared" si="134"/>
        <v>0</v>
      </c>
      <c r="AQ52" s="219">
        <f t="shared" si="135"/>
        <v>0</v>
      </c>
      <c r="AR52" s="219">
        <f t="shared" si="136"/>
        <v>0</v>
      </c>
    </row>
    <row r="53" spans="1:44" x14ac:dyDescent="0.2">
      <c r="B53" s="124" t="s">
        <v>374</v>
      </c>
      <c r="C53" s="13">
        <f>AVERAGE(C23:C27)</f>
        <v>14.795071059059378</v>
      </c>
      <c r="D53" s="13">
        <f t="shared" ref="D53:G53" si="156">AVERAGE(D23:D27)</f>
        <v>0</v>
      </c>
      <c r="E53" s="13">
        <f t="shared" si="156"/>
        <v>0</v>
      </c>
      <c r="F53" s="13">
        <f t="shared" si="156"/>
        <v>0</v>
      </c>
      <c r="G53" s="13">
        <f t="shared" si="156"/>
        <v>0</v>
      </c>
      <c r="H53" s="13">
        <f>AVERAGE(H23:H27)</f>
        <v>0</v>
      </c>
      <c r="I53" s="219">
        <f t="shared" si="5"/>
        <v>32.877935686798615</v>
      </c>
      <c r="J53" s="219">
        <f t="shared" si="6"/>
        <v>0</v>
      </c>
      <c r="K53" s="219">
        <f t="shared" si="7"/>
        <v>0</v>
      </c>
      <c r="L53" s="219">
        <f t="shared" si="8"/>
        <v>0</v>
      </c>
      <c r="M53" s="219">
        <f t="shared" si="9"/>
        <v>0</v>
      </c>
      <c r="N53" s="219">
        <f t="shared" si="10"/>
        <v>0</v>
      </c>
      <c r="O53" s="32">
        <f t="shared" si="137"/>
        <v>36.987677647648439</v>
      </c>
      <c r="P53" s="32">
        <f t="shared" si="138"/>
        <v>0</v>
      </c>
      <c r="Q53" s="32">
        <f t="shared" si="139"/>
        <v>0</v>
      </c>
      <c r="R53" s="32">
        <f t="shared" si="140"/>
        <v>0</v>
      </c>
      <c r="S53" s="32">
        <f t="shared" si="141"/>
        <v>0</v>
      </c>
      <c r="T53" s="32">
        <f t="shared" si="142"/>
        <v>0</v>
      </c>
      <c r="U53" s="32">
        <f t="shared" si="143"/>
        <v>42.271631597312513</v>
      </c>
      <c r="V53" s="32">
        <f t="shared" si="144"/>
        <v>0</v>
      </c>
      <c r="W53" s="32">
        <f t="shared" si="145"/>
        <v>0</v>
      </c>
      <c r="X53" s="32">
        <f t="shared" si="146"/>
        <v>0</v>
      </c>
      <c r="Y53" s="32">
        <f t="shared" si="147"/>
        <v>0</v>
      </c>
      <c r="Z53" s="32">
        <f t="shared" si="148"/>
        <v>0</v>
      </c>
      <c r="AA53" s="32">
        <f t="shared" si="149"/>
        <v>49.316903530197926</v>
      </c>
      <c r="AB53" s="32">
        <f t="shared" si="150"/>
        <v>0</v>
      </c>
      <c r="AC53" s="32">
        <f t="shared" si="151"/>
        <v>0</v>
      </c>
      <c r="AD53" s="32">
        <f t="shared" si="152"/>
        <v>0</v>
      </c>
      <c r="AE53" s="32">
        <f t="shared" si="153"/>
        <v>0</v>
      </c>
      <c r="AF53" s="32">
        <f t="shared" si="154"/>
        <v>0</v>
      </c>
      <c r="AG53" s="227"/>
      <c r="AH53" s="227"/>
      <c r="AI53" s="227"/>
      <c r="AJ53" s="227"/>
      <c r="AK53" s="227"/>
      <c r="AL53" s="227"/>
      <c r="AM53" s="219">
        <f t="shared" si="131"/>
        <v>0</v>
      </c>
      <c r="AN53" s="219">
        <f t="shared" si="132"/>
        <v>0</v>
      </c>
      <c r="AO53" s="219">
        <f t="shared" si="133"/>
        <v>0</v>
      </c>
      <c r="AP53" s="219">
        <f t="shared" si="134"/>
        <v>0</v>
      </c>
      <c r="AQ53" s="219">
        <f t="shared" si="135"/>
        <v>0</v>
      </c>
      <c r="AR53" s="219">
        <f t="shared" si="136"/>
        <v>0</v>
      </c>
    </row>
    <row r="54" spans="1:44" x14ac:dyDescent="0.2">
      <c r="E54" s="5"/>
      <c r="F54" s="32"/>
      <c r="G54" s="32"/>
      <c r="H54" s="32"/>
      <c r="I54" s="32"/>
      <c r="J54" s="5"/>
      <c r="K54" s="26"/>
      <c r="L54" s="26"/>
      <c r="AG54" s="311" t="s">
        <v>719</v>
      </c>
      <c r="AH54" s="311"/>
      <c r="AI54" s="311"/>
      <c r="AJ54" s="311"/>
      <c r="AM54" s="32"/>
      <c r="AN54" s="5"/>
      <c r="AO54" s="26"/>
      <c r="AP54" s="26"/>
    </row>
    <row r="55" spans="1:44" x14ac:dyDescent="0.2">
      <c r="E55" s="5"/>
      <c r="F55" s="32"/>
      <c r="G55" s="32"/>
      <c r="H55" s="32"/>
      <c r="I55" s="32"/>
      <c r="J55" s="5"/>
      <c r="K55" s="26"/>
      <c r="L55" s="26"/>
      <c r="AG55" s="2"/>
      <c r="AH55" s="312" t="s">
        <v>728</v>
      </c>
      <c r="AI55" s="312"/>
      <c r="AJ55" s="312"/>
      <c r="AM55" s="32"/>
      <c r="AN55" s="5"/>
      <c r="AO55" s="26"/>
      <c r="AP55" s="26"/>
    </row>
    <row r="56" spans="1:44" x14ac:dyDescent="0.2">
      <c r="E56" s="5"/>
      <c r="F56" s="32"/>
      <c r="G56" s="32"/>
      <c r="H56" s="32"/>
      <c r="I56" s="32"/>
      <c r="J56" s="5"/>
      <c r="K56" s="26"/>
      <c r="L56" s="26"/>
      <c r="AG56" s="2" t="s">
        <v>727</v>
      </c>
      <c r="AH56" s="234" t="s">
        <v>707</v>
      </c>
      <c r="AI56" s="234" t="s">
        <v>710</v>
      </c>
      <c r="AJ56" s="234" t="s">
        <v>711</v>
      </c>
      <c r="AM56" s="32"/>
      <c r="AN56" s="5"/>
      <c r="AO56" s="26"/>
      <c r="AP56" s="26"/>
    </row>
    <row r="57" spans="1:44" x14ac:dyDescent="0.2">
      <c r="E57" s="5"/>
      <c r="F57" s="32"/>
      <c r="G57" s="32"/>
      <c r="H57" s="32"/>
      <c r="I57" s="32"/>
      <c r="J57" s="5"/>
      <c r="K57" s="26"/>
      <c r="L57" s="26"/>
      <c r="AG57" s="2" t="s">
        <v>724</v>
      </c>
      <c r="AH57" s="234" t="s">
        <v>712</v>
      </c>
      <c r="AI57" s="234" t="s">
        <v>715</v>
      </c>
      <c r="AJ57" s="234" t="s">
        <v>716</v>
      </c>
      <c r="AM57" s="32"/>
      <c r="AN57" s="5"/>
      <c r="AO57" s="26"/>
      <c r="AP57" s="26"/>
    </row>
    <row r="58" spans="1:44" x14ac:dyDescent="0.2">
      <c r="E58" s="5"/>
      <c r="F58" s="32"/>
      <c r="G58" s="32"/>
      <c r="H58" s="32"/>
      <c r="I58" s="32"/>
      <c r="J58" s="5"/>
      <c r="K58" s="26"/>
      <c r="L58" s="26"/>
      <c r="AG58" s="2" t="s">
        <v>725</v>
      </c>
      <c r="AH58" s="234" t="s">
        <v>713</v>
      </c>
      <c r="AI58" s="234">
        <v>420</v>
      </c>
      <c r="AJ58" s="234" t="s">
        <v>717</v>
      </c>
      <c r="AM58" s="32"/>
      <c r="AN58" s="5"/>
      <c r="AO58" s="26"/>
      <c r="AP58" s="26"/>
    </row>
    <row r="59" spans="1:44" x14ac:dyDescent="0.2">
      <c r="E59" s="5"/>
      <c r="F59" s="32"/>
      <c r="G59" s="32"/>
      <c r="H59" s="32"/>
      <c r="I59" s="32"/>
      <c r="J59" s="5"/>
      <c r="K59" s="26"/>
      <c r="L59" s="26"/>
      <c r="AG59" s="2" t="s">
        <v>726</v>
      </c>
      <c r="AH59" s="234" t="s">
        <v>714</v>
      </c>
      <c r="AI59" s="234">
        <v>320</v>
      </c>
      <c r="AJ59" s="234" t="s">
        <v>718</v>
      </c>
      <c r="AM59" s="32"/>
      <c r="AN59" s="5"/>
      <c r="AO59" s="26"/>
      <c r="AP59" s="26"/>
    </row>
    <row r="60" spans="1:44" x14ac:dyDescent="0.2">
      <c r="E60" s="5"/>
      <c r="F60" s="32"/>
      <c r="G60" s="32"/>
      <c r="H60" s="32"/>
      <c r="I60" s="32"/>
      <c r="J60" s="5"/>
      <c r="K60" s="26"/>
      <c r="L60" s="26"/>
      <c r="AG60" s="2" t="s">
        <v>708</v>
      </c>
      <c r="AH60" s="235">
        <v>400</v>
      </c>
      <c r="AI60" s="234">
        <v>420</v>
      </c>
      <c r="AJ60" s="234">
        <v>400</v>
      </c>
      <c r="AM60" s="32"/>
      <c r="AN60" s="5"/>
      <c r="AO60" s="26"/>
      <c r="AP60" s="26"/>
    </row>
    <row r="61" spans="1:44" x14ac:dyDescent="0.2">
      <c r="E61" s="5"/>
      <c r="F61" s="32"/>
      <c r="G61" s="32"/>
      <c r="H61" s="32"/>
      <c r="I61" s="32"/>
      <c r="J61" s="5"/>
      <c r="K61" s="26"/>
      <c r="L61" s="26"/>
      <c r="AG61" s="2" t="s">
        <v>709</v>
      </c>
      <c r="AH61" s="235">
        <v>280</v>
      </c>
      <c r="AI61" s="234">
        <v>320</v>
      </c>
      <c r="AJ61" s="234">
        <v>300</v>
      </c>
      <c r="AM61" s="32"/>
      <c r="AN61" s="5"/>
      <c r="AO61" s="26"/>
      <c r="AP61" s="26"/>
    </row>
    <row r="62" spans="1:44" x14ac:dyDescent="0.2">
      <c r="E62" s="5"/>
      <c r="F62" s="32"/>
      <c r="G62" s="32"/>
      <c r="H62" s="32"/>
      <c r="I62" s="32"/>
      <c r="J62" s="5"/>
      <c r="K62" s="26"/>
      <c r="L62" s="26"/>
      <c r="AM62" s="32"/>
      <c r="AN62" s="5"/>
      <c r="AO62" s="26"/>
      <c r="AP62" s="26"/>
    </row>
    <row r="63" spans="1:44" x14ac:dyDescent="0.2">
      <c r="E63" s="5"/>
      <c r="F63" s="32"/>
      <c r="G63" s="32"/>
      <c r="H63" s="32"/>
      <c r="I63" s="32"/>
      <c r="J63" s="5"/>
      <c r="K63" s="26"/>
      <c r="L63" s="26"/>
      <c r="AM63" s="32"/>
      <c r="AN63" s="5"/>
      <c r="AO63" s="26"/>
      <c r="AP63" s="26"/>
    </row>
    <row r="64" spans="1:44" x14ac:dyDescent="0.2">
      <c r="E64" s="5"/>
      <c r="F64" s="32"/>
      <c r="G64" s="32"/>
      <c r="H64" s="32"/>
      <c r="I64" s="32"/>
      <c r="J64" s="5"/>
      <c r="K64" s="26"/>
      <c r="L64" s="26"/>
      <c r="AG64" s="32"/>
      <c r="AH64" s="5"/>
      <c r="AI64" s="26"/>
      <c r="AJ64" s="26"/>
      <c r="AM64" s="32"/>
      <c r="AN64" s="5"/>
      <c r="AO64" s="26"/>
      <c r="AP64" s="26"/>
    </row>
    <row r="65" spans="5:42" x14ac:dyDescent="0.2">
      <c r="E65" s="5"/>
      <c r="F65" s="32"/>
      <c r="G65" s="32"/>
      <c r="H65" s="32"/>
      <c r="I65" s="32"/>
      <c r="J65" s="5"/>
      <c r="K65" s="26"/>
      <c r="L65" s="26"/>
      <c r="AG65" s="32"/>
      <c r="AH65" s="5"/>
      <c r="AI65" s="26"/>
      <c r="AJ65" s="26"/>
      <c r="AM65" s="32"/>
      <c r="AN65" s="5"/>
      <c r="AO65" s="26"/>
      <c r="AP65" s="26"/>
    </row>
    <row r="66" spans="5:42" x14ac:dyDescent="0.2">
      <c r="E66" s="5"/>
      <c r="F66" s="32"/>
      <c r="G66" s="32"/>
      <c r="H66" s="32"/>
      <c r="I66" s="32"/>
      <c r="J66" s="5"/>
      <c r="K66" s="26"/>
      <c r="L66" s="26"/>
      <c r="AG66" s="32"/>
      <c r="AH66" s="5"/>
      <c r="AI66" s="26"/>
      <c r="AJ66" s="26"/>
      <c r="AM66" s="32"/>
      <c r="AN66" s="5"/>
      <c r="AO66" s="26"/>
      <c r="AP66" s="26"/>
    </row>
    <row r="67" spans="5:42" x14ac:dyDescent="0.2">
      <c r="E67" s="5"/>
      <c r="F67" s="32"/>
      <c r="G67" s="32"/>
      <c r="H67" s="32"/>
      <c r="I67" s="32"/>
      <c r="J67" s="5"/>
      <c r="K67" s="26"/>
      <c r="L67" s="26"/>
      <c r="AG67" s="32"/>
      <c r="AH67" s="5"/>
      <c r="AI67" s="26"/>
      <c r="AJ67" s="26"/>
      <c r="AM67" s="32"/>
      <c r="AN67" s="5"/>
      <c r="AO67" s="26"/>
      <c r="AP67" s="26"/>
    </row>
    <row r="68" spans="5:42" x14ac:dyDescent="0.2">
      <c r="E68" s="5"/>
      <c r="F68" s="32"/>
      <c r="G68" s="32"/>
      <c r="H68" s="32"/>
      <c r="I68" s="32"/>
      <c r="J68" s="5"/>
      <c r="K68" s="26"/>
      <c r="L68" s="26"/>
      <c r="AG68" s="32"/>
      <c r="AH68" s="5"/>
      <c r="AI68" s="26"/>
      <c r="AJ68" s="26"/>
      <c r="AM68" s="32"/>
      <c r="AN68" s="5"/>
      <c r="AO68" s="26"/>
      <c r="AP68" s="26"/>
    </row>
    <row r="69" spans="5:42" x14ac:dyDescent="0.2">
      <c r="E69" s="5"/>
      <c r="F69" s="32"/>
      <c r="G69" s="32"/>
      <c r="H69" s="32"/>
      <c r="I69" s="32"/>
      <c r="J69" s="5"/>
      <c r="K69" s="26"/>
      <c r="L69" s="26"/>
      <c r="AG69" s="32"/>
      <c r="AH69" s="5"/>
      <c r="AI69" s="26"/>
      <c r="AJ69" s="26"/>
      <c r="AM69" s="32"/>
      <c r="AN69" s="5"/>
      <c r="AO69" s="26"/>
      <c r="AP69" s="26"/>
    </row>
    <row r="70" spans="5:42" x14ac:dyDescent="0.2">
      <c r="E70" s="5"/>
      <c r="F70" s="32"/>
      <c r="G70" s="32"/>
      <c r="H70" s="32"/>
      <c r="I70" s="32"/>
      <c r="J70" s="5"/>
      <c r="K70" s="26"/>
      <c r="L70" s="26"/>
      <c r="AG70" s="32"/>
      <c r="AH70" s="5"/>
      <c r="AI70" s="26"/>
      <c r="AJ70" s="26"/>
      <c r="AM70" s="32"/>
      <c r="AN70" s="5"/>
      <c r="AO70" s="26"/>
      <c r="AP70" s="26"/>
    </row>
    <row r="71" spans="5:42" x14ac:dyDescent="0.2">
      <c r="E71" s="5"/>
      <c r="F71" s="32"/>
      <c r="G71" s="32"/>
      <c r="H71" s="32"/>
      <c r="I71" s="32"/>
      <c r="J71" s="5"/>
      <c r="K71" s="26"/>
      <c r="L71" s="26"/>
      <c r="AG71" s="32"/>
      <c r="AH71" s="5"/>
      <c r="AI71" s="26"/>
      <c r="AJ71" s="26"/>
      <c r="AM71" s="32"/>
      <c r="AN71" s="5"/>
      <c r="AO71" s="26"/>
      <c r="AP71" s="26"/>
    </row>
    <row r="72" spans="5:42" x14ac:dyDescent="0.2">
      <c r="E72" s="5"/>
      <c r="F72" s="32"/>
      <c r="G72" s="32"/>
      <c r="H72" s="32"/>
      <c r="I72" s="32"/>
      <c r="J72" s="5"/>
      <c r="K72" s="26"/>
      <c r="L72" s="26"/>
      <c r="AG72" s="32"/>
      <c r="AH72" s="5"/>
      <c r="AI72" s="26"/>
      <c r="AJ72" s="26"/>
      <c r="AM72" s="32"/>
      <c r="AN72" s="5"/>
      <c r="AO72" s="26"/>
      <c r="AP72" s="26"/>
    </row>
    <row r="73" spans="5:42" x14ac:dyDescent="0.2">
      <c r="E73" s="5"/>
      <c r="F73" s="32"/>
      <c r="G73" s="32"/>
      <c r="H73" s="32"/>
      <c r="I73" s="32"/>
      <c r="J73" s="5"/>
      <c r="K73" s="26"/>
      <c r="L73" s="26"/>
      <c r="AG73" s="32"/>
      <c r="AH73" s="5"/>
      <c r="AI73" s="26"/>
      <c r="AJ73" s="26"/>
      <c r="AM73" s="32"/>
      <c r="AN73" s="5"/>
      <c r="AO73" s="26"/>
      <c r="AP73" s="26"/>
    </row>
    <row r="74" spans="5:42" x14ac:dyDescent="0.2">
      <c r="E74" s="5"/>
      <c r="F74" s="32"/>
      <c r="G74" s="32"/>
      <c r="H74" s="32"/>
      <c r="I74" s="32"/>
      <c r="J74" s="5"/>
      <c r="K74" s="26"/>
      <c r="L74" s="26"/>
      <c r="AG74" s="32"/>
      <c r="AH74" s="5"/>
      <c r="AI74" s="26"/>
      <c r="AJ74" s="26"/>
      <c r="AM74" s="32"/>
      <c r="AN74" s="5"/>
      <c r="AO74" s="26"/>
      <c r="AP74" s="26"/>
    </row>
    <row r="75" spans="5:42" x14ac:dyDescent="0.2">
      <c r="E75" s="5"/>
      <c r="F75" s="32"/>
      <c r="G75" s="32"/>
      <c r="H75" s="32"/>
      <c r="I75" s="32"/>
      <c r="J75" s="5"/>
      <c r="K75" s="26"/>
      <c r="L75" s="26"/>
      <c r="AG75" s="32"/>
      <c r="AH75" s="5"/>
      <c r="AI75" s="26"/>
      <c r="AJ75" s="26"/>
      <c r="AM75" s="32"/>
      <c r="AN75" s="5"/>
      <c r="AO75" s="26"/>
      <c r="AP75" s="26"/>
    </row>
    <row r="76" spans="5:42" x14ac:dyDescent="0.2">
      <c r="E76" s="5"/>
      <c r="F76" s="32"/>
      <c r="G76" s="32"/>
      <c r="H76" s="32"/>
      <c r="I76" s="32"/>
      <c r="J76" s="5"/>
      <c r="K76" s="26"/>
      <c r="L76" s="26"/>
      <c r="AG76" s="32"/>
      <c r="AH76" s="5"/>
      <c r="AI76" s="26"/>
      <c r="AJ76" s="26"/>
      <c r="AM76" s="32"/>
      <c r="AN76" s="5"/>
      <c r="AO76" s="26"/>
      <c r="AP76" s="26"/>
    </row>
    <row r="77" spans="5:42" x14ac:dyDescent="0.2">
      <c r="E77" s="5"/>
      <c r="F77" s="32"/>
      <c r="G77" s="32"/>
      <c r="H77" s="32"/>
      <c r="I77" s="32"/>
      <c r="J77" s="5"/>
      <c r="K77" s="26"/>
      <c r="L77" s="26"/>
      <c r="AG77" s="32"/>
      <c r="AH77" s="5"/>
      <c r="AI77" s="26"/>
      <c r="AJ77" s="26"/>
      <c r="AM77" s="32"/>
      <c r="AN77" s="5"/>
      <c r="AO77" s="26"/>
      <c r="AP77" s="26"/>
    </row>
    <row r="78" spans="5:42" x14ac:dyDescent="0.2">
      <c r="E78" s="5"/>
      <c r="F78" s="32"/>
      <c r="G78" s="32"/>
      <c r="H78" s="32"/>
      <c r="I78" s="32"/>
      <c r="J78" s="5"/>
      <c r="K78" s="26"/>
      <c r="L78" s="26"/>
      <c r="AG78" s="32"/>
      <c r="AH78" s="5"/>
      <c r="AI78" s="26"/>
      <c r="AJ78" s="26"/>
      <c r="AM78" s="32"/>
      <c r="AN78" s="5"/>
      <c r="AO78" s="26"/>
      <c r="AP78" s="26"/>
    </row>
    <row r="79" spans="5:42" x14ac:dyDescent="0.2">
      <c r="E79" s="5"/>
      <c r="F79" s="32"/>
      <c r="G79" s="32"/>
      <c r="H79" s="32"/>
      <c r="I79" s="32"/>
      <c r="J79" s="5"/>
      <c r="K79" s="26"/>
      <c r="L79" s="26"/>
      <c r="AG79" s="32"/>
      <c r="AH79" s="5"/>
      <c r="AI79" s="26"/>
      <c r="AJ79" s="26"/>
      <c r="AM79" s="32"/>
      <c r="AN79" s="5"/>
      <c r="AO79" s="26"/>
      <c r="AP79" s="26"/>
    </row>
    <row r="80" spans="5:42" x14ac:dyDescent="0.2">
      <c r="E80" s="5"/>
      <c r="F80" s="32"/>
      <c r="G80" s="32"/>
      <c r="H80" s="32"/>
      <c r="I80" s="32"/>
      <c r="J80" s="5"/>
      <c r="K80" s="26"/>
      <c r="L80" s="26"/>
      <c r="AG80" s="32"/>
      <c r="AH80" s="5"/>
      <c r="AI80" s="26"/>
      <c r="AJ80" s="26"/>
      <c r="AM80" s="32"/>
      <c r="AN80" s="5"/>
      <c r="AO80" s="26"/>
      <c r="AP80" s="26"/>
    </row>
    <row r="81" spans="5:42" x14ac:dyDescent="0.2">
      <c r="E81" s="5"/>
      <c r="F81" s="32"/>
      <c r="G81" s="32"/>
      <c r="H81" s="32"/>
      <c r="I81" s="32"/>
      <c r="J81" s="5"/>
      <c r="K81" s="26"/>
      <c r="L81" s="26"/>
      <c r="AG81" s="32"/>
      <c r="AH81" s="5"/>
      <c r="AI81" s="26"/>
      <c r="AJ81" s="26"/>
      <c r="AM81" s="32"/>
      <c r="AN81" s="5"/>
      <c r="AO81" s="26"/>
      <c r="AP81" s="26"/>
    </row>
    <row r="82" spans="5:42" x14ac:dyDescent="0.2">
      <c r="E82" s="5"/>
      <c r="F82" s="32"/>
      <c r="G82" s="32"/>
      <c r="H82" s="32"/>
      <c r="I82" s="32"/>
      <c r="J82" s="5"/>
      <c r="K82" s="26"/>
      <c r="L82" s="26"/>
      <c r="AG82" s="32"/>
      <c r="AH82" s="5"/>
      <c r="AI82" s="26"/>
      <c r="AJ82" s="26"/>
      <c r="AM82" s="32"/>
      <c r="AN82" s="5"/>
      <c r="AO82" s="26"/>
      <c r="AP82" s="26"/>
    </row>
    <row r="83" spans="5:42" x14ac:dyDescent="0.2">
      <c r="E83" s="5"/>
      <c r="F83" s="32"/>
      <c r="G83" s="32"/>
      <c r="H83" s="32"/>
      <c r="I83" s="32"/>
      <c r="J83" s="5"/>
      <c r="K83" s="26"/>
      <c r="L83" s="26"/>
      <c r="AG83" s="32"/>
      <c r="AH83" s="5"/>
      <c r="AI83" s="26"/>
      <c r="AJ83" s="26"/>
      <c r="AM83" s="32"/>
      <c r="AN83" s="5"/>
      <c r="AO83" s="26"/>
      <c r="AP83" s="26"/>
    </row>
    <row r="84" spans="5:42" x14ac:dyDescent="0.2">
      <c r="E84" s="5"/>
      <c r="F84" s="32"/>
      <c r="G84" s="32"/>
      <c r="H84" s="32"/>
      <c r="I84" s="32"/>
      <c r="J84" s="5"/>
      <c r="K84" s="26"/>
      <c r="L84" s="26"/>
      <c r="AG84" s="32"/>
      <c r="AH84" s="5"/>
      <c r="AI84" s="26"/>
      <c r="AJ84" s="26"/>
      <c r="AM84" s="32"/>
      <c r="AN84" s="5"/>
      <c r="AO84" s="26"/>
      <c r="AP84" s="26"/>
    </row>
    <row r="85" spans="5:42" x14ac:dyDescent="0.2">
      <c r="E85" s="5"/>
      <c r="F85" s="32"/>
      <c r="G85" s="32"/>
      <c r="H85" s="32"/>
      <c r="I85" s="32"/>
      <c r="J85" s="5"/>
      <c r="K85" s="26"/>
      <c r="L85" s="26"/>
      <c r="AG85" s="32"/>
      <c r="AH85" s="5"/>
      <c r="AI85" s="26"/>
      <c r="AJ85" s="26"/>
      <c r="AM85" s="32"/>
      <c r="AN85" s="5"/>
      <c r="AO85" s="26"/>
      <c r="AP85" s="26"/>
    </row>
    <row r="86" spans="5:42" x14ac:dyDescent="0.2">
      <c r="E86" s="5"/>
      <c r="F86" s="32"/>
      <c r="G86" s="32"/>
      <c r="H86" s="32"/>
      <c r="I86" s="32"/>
      <c r="J86" s="5"/>
      <c r="K86" s="26"/>
      <c r="L86" s="26"/>
      <c r="AG86" s="32"/>
      <c r="AH86" s="5"/>
      <c r="AI86" s="26"/>
      <c r="AJ86" s="26"/>
      <c r="AM86" s="32"/>
      <c r="AN86" s="5"/>
      <c r="AO86" s="26"/>
      <c r="AP86" s="26"/>
    </row>
    <row r="87" spans="5:42" x14ac:dyDescent="0.2">
      <c r="E87" s="5"/>
      <c r="F87" s="32"/>
      <c r="G87" s="32"/>
      <c r="H87" s="32"/>
      <c r="I87" s="32"/>
      <c r="J87" s="5"/>
      <c r="K87" s="26"/>
      <c r="L87" s="26"/>
      <c r="AG87" s="32"/>
      <c r="AH87" s="5"/>
      <c r="AI87" s="26"/>
      <c r="AJ87" s="26"/>
      <c r="AM87" s="32"/>
      <c r="AN87" s="5"/>
      <c r="AO87" s="26"/>
      <c r="AP87" s="26"/>
    </row>
    <row r="88" spans="5:42" x14ac:dyDescent="0.2">
      <c r="E88" s="5"/>
      <c r="F88" s="32"/>
      <c r="G88" s="32"/>
      <c r="H88" s="32"/>
      <c r="I88" s="32"/>
      <c r="J88" s="5"/>
      <c r="K88" s="26"/>
      <c r="L88" s="26"/>
      <c r="AG88" s="32"/>
      <c r="AH88" s="5"/>
      <c r="AI88" s="26"/>
      <c r="AJ88" s="26"/>
      <c r="AM88" s="32"/>
      <c r="AN88" s="5"/>
      <c r="AO88" s="26"/>
      <c r="AP88" s="26"/>
    </row>
    <row r="89" spans="5:42" x14ac:dyDescent="0.2">
      <c r="E89" s="5"/>
      <c r="F89" s="32"/>
      <c r="G89" s="32"/>
      <c r="H89" s="32"/>
      <c r="I89" s="32"/>
      <c r="J89" s="5"/>
      <c r="K89" s="26"/>
      <c r="L89" s="26"/>
      <c r="AG89" s="32"/>
      <c r="AH89" s="5"/>
      <c r="AI89" s="26"/>
      <c r="AJ89" s="26"/>
      <c r="AM89" s="32"/>
      <c r="AN89" s="5"/>
      <c r="AO89" s="26"/>
      <c r="AP89" s="26"/>
    </row>
    <row r="90" spans="5:42" x14ac:dyDescent="0.2">
      <c r="E90" s="5"/>
      <c r="F90" s="32"/>
      <c r="G90" s="32"/>
      <c r="H90" s="32"/>
      <c r="I90" s="32"/>
      <c r="J90" s="5"/>
      <c r="K90" s="26"/>
      <c r="L90" s="26"/>
      <c r="AG90" s="32"/>
      <c r="AH90" s="5"/>
      <c r="AI90" s="26"/>
      <c r="AJ90" s="26"/>
      <c r="AM90" s="32"/>
      <c r="AN90" s="5"/>
      <c r="AO90" s="26"/>
      <c r="AP90" s="26"/>
    </row>
    <row r="91" spans="5:42" x14ac:dyDescent="0.2">
      <c r="E91" s="5"/>
      <c r="F91" s="32"/>
      <c r="G91" s="32"/>
      <c r="H91" s="32"/>
      <c r="I91" s="32"/>
      <c r="J91" s="5"/>
      <c r="K91" s="26"/>
      <c r="L91" s="26"/>
      <c r="AG91" s="32"/>
      <c r="AH91" s="5"/>
      <c r="AI91" s="26"/>
      <c r="AJ91" s="26"/>
      <c r="AM91" s="32"/>
      <c r="AN91" s="5"/>
      <c r="AO91" s="26"/>
      <c r="AP91" s="26"/>
    </row>
    <row r="92" spans="5:42" x14ac:dyDescent="0.2">
      <c r="E92" s="5"/>
      <c r="F92" s="32"/>
      <c r="G92" s="32"/>
      <c r="H92" s="32"/>
      <c r="I92" s="32"/>
      <c r="J92" s="5"/>
      <c r="K92" s="26"/>
      <c r="L92" s="26"/>
      <c r="AG92" s="32"/>
      <c r="AH92" s="5"/>
      <c r="AI92" s="26"/>
      <c r="AJ92" s="26"/>
      <c r="AM92" s="32"/>
      <c r="AN92" s="5"/>
      <c r="AO92" s="26"/>
      <c r="AP92" s="26"/>
    </row>
    <row r="93" spans="5:42" x14ac:dyDescent="0.2">
      <c r="E93" s="5"/>
      <c r="F93" s="32"/>
      <c r="G93" s="32"/>
      <c r="H93" s="32"/>
      <c r="I93" s="32"/>
      <c r="J93" s="5"/>
      <c r="K93" s="26"/>
      <c r="L93" s="26"/>
      <c r="AG93" s="32"/>
      <c r="AH93" s="5"/>
      <c r="AI93" s="26"/>
      <c r="AJ93" s="26"/>
      <c r="AM93" s="32"/>
      <c r="AN93" s="5"/>
      <c r="AO93" s="26"/>
      <c r="AP93" s="26"/>
    </row>
    <row r="94" spans="5:42" x14ac:dyDescent="0.2">
      <c r="E94" s="5"/>
      <c r="F94" s="32"/>
      <c r="G94" s="32"/>
      <c r="H94" s="32"/>
      <c r="I94" s="32"/>
      <c r="J94" s="5"/>
      <c r="K94" s="26"/>
      <c r="L94" s="26"/>
      <c r="AG94" s="32"/>
      <c r="AH94" s="5"/>
      <c r="AI94" s="26"/>
      <c r="AJ94" s="26"/>
      <c r="AM94" s="32"/>
      <c r="AN94" s="5"/>
      <c r="AO94" s="26"/>
      <c r="AP94" s="26"/>
    </row>
    <row r="95" spans="5:42" x14ac:dyDescent="0.2">
      <c r="E95" s="5"/>
      <c r="F95" s="32"/>
      <c r="G95" s="32"/>
      <c r="H95" s="32"/>
      <c r="I95" s="32"/>
      <c r="J95" s="5"/>
      <c r="K95" s="26"/>
      <c r="L95" s="26"/>
      <c r="AG95" s="32"/>
      <c r="AH95" s="5"/>
      <c r="AI95" s="26"/>
      <c r="AJ95" s="26"/>
      <c r="AM95" s="32"/>
      <c r="AN95" s="5"/>
      <c r="AO95" s="26"/>
      <c r="AP95" s="26"/>
    </row>
    <row r="96" spans="5:42" x14ac:dyDescent="0.2">
      <c r="E96" s="13"/>
      <c r="F96" s="32"/>
      <c r="G96" s="32"/>
      <c r="H96" s="32"/>
      <c r="I96" s="32"/>
      <c r="J96" s="5"/>
      <c r="K96" s="26"/>
      <c r="L96" s="26"/>
      <c r="AG96" s="32"/>
      <c r="AH96" s="5"/>
      <c r="AI96" s="26"/>
      <c r="AJ96" s="26"/>
      <c r="AM96" s="32"/>
      <c r="AN96" s="5"/>
      <c r="AO96" s="26"/>
      <c r="AP96" s="26"/>
    </row>
    <row r="97" spans="5:42" x14ac:dyDescent="0.2">
      <c r="E97" s="13"/>
      <c r="F97" s="32"/>
      <c r="G97" s="32"/>
      <c r="H97" s="32"/>
      <c r="I97" s="32"/>
      <c r="J97" s="5"/>
      <c r="K97" s="26"/>
      <c r="L97" s="26"/>
      <c r="AG97" s="32"/>
      <c r="AH97" s="5"/>
      <c r="AI97" s="26"/>
      <c r="AJ97" s="26"/>
      <c r="AM97" s="32"/>
      <c r="AN97" s="5"/>
      <c r="AO97" s="26"/>
      <c r="AP97" s="26"/>
    </row>
    <row r="98" spans="5:42" x14ac:dyDescent="0.2">
      <c r="E98" s="13"/>
      <c r="F98" s="32"/>
      <c r="G98" s="32"/>
      <c r="H98" s="32"/>
      <c r="I98" s="32"/>
      <c r="J98" s="5"/>
      <c r="K98" s="26"/>
      <c r="L98" s="26"/>
      <c r="AG98" s="32"/>
      <c r="AH98" s="5"/>
      <c r="AI98" s="26"/>
      <c r="AJ98" s="26"/>
      <c r="AM98" s="32"/>
      <c r="AN98" s="5"/>
      <c r="AO98" s="26"/>
      <c r="AP98" s="26"/>
    </row>
    <row r="99" spans="5:42" x14ac:dyDescent="0.2">
      <c r="E99" s="13"/>
      <c r="F99" s="32"/>
      <c r="G99" s="32"/>
      <c r="H99" s="32"/>
      <c r="I99" s="32"/>
      <c r="J99" s="5"/>
      <c r="K99" s="26"/>
      <c r="L99" s="26"/>
      <c r="AG99" s="32"/>
      <c r="AH99" s="5"/>
      <c r="AI99" s="26"/>
      <c r="AJ99" s="26"/>
      <c r="AM99" s="32"/>
      <c r="AN99" s="5"/>
      <c r="AO99" s="26"/>
      <c r="AP99" s="26"/>
    </row>
    <row r="100" spans="5:42" x14ac:dyDescent="0.2">
      <c r="E100" s="13"/>
      <c r="F100" s="32"/>
      <c r="G100" s="32"/>
      <c r="H100" s="32"/>
      <c r="I100" s="32"/>
      <c r="J100" s="5"/>
      <c r="K100" s="26"/>
      <c r="L100" s="26"/>
      <c r="AG100" s="32"/>
      <c r="AH100" s="5"/>
      <c r="AI100" s="26"/>
      <c r="AJ100" s="26"/>
      <c r="AM100" s="32"/>
      <c r="AN100" s="5"/>
      <c r="AO100" s="26"/>
      <c r="AP100" s="26"/>
    </row>
    <row r="101" spans="5:42" x14ac:dyDescent="0.2">
      <c r="E101" s="13"/>
      <c r="F101" s="32"/>
      <c r="G101" s="32"/>
      <c r="H101" s="32"/>
      <c r="I101" s="32"/>
      <c r="J101" s="5"/>
      <c r="K101" s="26"/>
      <c r="L101" s="26"/>
      <c r="AG101" s="32"/>
      <c r="AH101" s="5"/>
      <c r="AI101" s="26"/>
      <c r="AJ101" s="26"/>
      <c r="AM101" s="32"/>
      <c r="AN101" s="5"/>
      <c r="AO101" s="26"/>
      <c r="AP101" s="26"/>
    </row>
    <row r="102" spans="5:42" x14ac:dyDescent="0.2">
      <c r="E102" s="13"/>
      <c r="F102" s="32"/>
      <c r="G102" s="32"/>
      <c r="H102" s="32"/>
      <c r="I102" s="32"/>
      <c r="J102" s="5"/>
      <c r="K102" s="26"/>
      <c r="L102" s="26"/>
      <c r="AG102" s="32"/>
      <c r="AH102" s="5"/>
      <c r="AI102" s="26"/>
      <c r="AJ102" s="26"/>
      <c r="AM102" s="32"/>
      <c r="AN102" s="5"/>
      <c r="AO102" s="26"/>
      <c r="AP102" s="26"/>
    </row>
    <row r="103" spans="5:42" x14ac:dyDescent="0.2">
      <c r="F103" s="32"/>
      <c r="G103" s="32"/>
      <c r="H103" s="32"/>
      <c r="I103" s="32"/>
      <c r="J103" s="5"/>
      <c r="K103" s="26"/>
      <c r="L103" s="26"/>
      <c r="AG103" s="32"/>
      <c r="AH103" s="5"/>
      <c r="AI103" s="26"/>
      <c r="AJ103" s="26"/>
      <c r="AM103" s="32"/>
      <c r="AN103" s="5"/>
      <c r="AO103" s="26"/>
      <c r="AP103" s="26"/>
    </row>
    <row r="104" spans="5:42" x14ac:dyDescent="0.2">
      <c r="E104" s="13"/>
      <c r="F104" s="32"/>
      <c r="G104" s="32"/>
      <c r="H104" s="32"/>
      <c r="I104" s="32"/>
      <c r="J104" s="5"/>
      <c r="K104" s="26"/>
      <c r="L104" s="26"/>
      <c r="AG104" s="32"/>
      <c r="AH104" s="5"/>
      <c r="AI104" s="26"/>
      <c r="AJ104" s="26"/>
      <c r="AM104" s="32"/>
      <c r="AN104" s="5"/>
      <c r="AO104" s="26"/>
      <c r="AP104" s="26"/>
    </row>
  </sheetData>
  <mergeCells count="2">
    <mergeCell ref="AG54:AJ54"/>
    <mergeCell ref="AH55:AJ55"/>
  </mergeCells>
  <phoneticPr fontId="7" type="noConversion"/>
  <pageMargins left="0.23622047244094491" right="0.23622047244094491" top="0.74803149606299213" bottom="0.74803149606299213" header="0.31496062992125984" footer="0.31496062992125984"/>
  <pageSetup scale="87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C4076C-8E03-4D40-AC43-FC23D4C87370}">
  <sheetPr codeName="Hoja11"/>
  <dimension ref="A1:U40"/>
  <sheetViews>
    <sheetView zoomScale="117" zoomScaleNormal="106" workbookViewId="0">
      <selection activeCell="G5" sqref="G5"/>
    </sheetView>
  </sheetViews>
  <sheetFormatPr baseColWidth="10" defaultColWidth="9.1640625" defaultRowHeight="15" x14ac:dyDescent="0.2"/>
  <cols>
    <col min="1" max="1" width="19.33203125" bestFit="1" customWidth="1"/>
    <col min="2" max="2" width="12.5" customWidth="1"/>
    <col min="3" max="3" width="9.83203125" bestFit="1" customWidth="1"/>
    <col min="4" max="4" width="9.6640625" bestFit="1" customWidth="1"/>
    <col min="5" max="5" width="9.6640625" customWidth="1"/>
    <col min="8" max="8" width="13" bestFit="1" customWidth="1"/>
    <col min="10" max="10" width="16.5" bestFit="1" customWidth="1"/>
    <col min="11" max="11" width="9.1640625" bestFit="1" customWidth="1"/>
    <col min="12" max="12" width="9.33203125" customWidth="1"/>
    <col min="13" max="14" width="10.1640625" bestFit="1" customWidth="1"/>
    <col min="15" max="15" width="18" bestFit="1" customWidth="1"/>
    <col min="17" max="17" width="13.83203125" bestFit="1" customWidth="1"/>
    <col min="18" max="18" width="11.33203125" bestFit="1" customWidth="1"/>
    <col min="19" max="19" width="9.6640625" bestFit="1" customWidth="1"/>
    <col min="20" max="20" width="17.83203125" customWidth="1"/>
    <col min="21" max="21" width="16.5" customWidth="1"/>
  </cols>
  <sheetData>
    <row r="1" spans="1:21" x14ac:dyDescent="0.2">
      <c r="A1" t="s">
        <v>596</v>
      </c>
    </row>
    <row r="2" spans="1:21" x14ac:dyDescent="0.2">
      <c r="C2" s="310" t="s">
        <v>444</v>
      </c>
      <c r="D2" s="310"/>
      <c r="E2" s="310"/>
      <c r="F2" s="310"/>
      <c r="G2" s="310"/>
      <c r="H2" s="310"/>
    </row>
    <row r="3" spans="1:21" x14ac:dyDescent="0.2">
      <c r="A3" s="20" t="s">
        <v>445</v>
      </c>
      <c r="B3" s="20"/>
      <c r="C3" s="20" t="s">
        <v>413</v>
      </c>
      <c r="D3" s="20" t="s">
        <v>375</v>
      </c>
      <c r="E3" s="20" t="s">
        <v>370</v>
      </c>
      <c r="F3" s="20" t="s">
        <v>371</v>
      </c>
      <c r="G3" s="20" t="s">
        <v>372</v>
      </c>
      <c r="H3" s="20" t="s">
        <v>373</v>
      </c>
      <c r="J3" s="353" t="s">
        <v>345</v>
      </c>
      <c r="K3" s="353"/>
      <c r="L3" s="338"/>
      <c r="M3" s="338"/>
      <c r="N3" s="338"/>
      <c r="O3" s="338"/>
    </row>
    <row r="4" spans="1:21" x14ac:dyDescent="0.2">
      <c r="A4" t="s">
        <v>488</v>
      </c>
      <c r="E4" s="32">
        <f>'Insumos 2'!T114</f>
        <v>12.762853589735657</v>
      </c>
      <c r="F4" s="32">
        <f>'Insumos 2'!U114</f>
        <v>28.528731553526761</v>
      </c>
      <c r="G4" s="32">
        <f>'Insumos 2'!V114</f>
        <v>41.291585143262424</v>
      </c>
      <c r="H4" s="32">
        <f>'Insumos 2'!W114</f>
        <v>72.072584977330763</v>
      </c>
      <c r="J4" s="33" t="s">
        <v>369</v>
      </c>
      <c r="K4" s="33" t="s">
        <v>370</v>
      </c>
      <c r="L4" s="35" t="s">
        <v>371</v>
      </c>
      <c r="M4" s="41" t="s">
        <v>372</v>
      </c>
      <c r="N4" s="42" t="s">
        <v>373</v>
      </c>
      <c r="O4" s="30" t="s">
        <v>448</v>
      </c>
      <c r="Q4" s="160" t="s">
        <v>2</v>
      </c>
      <c r="R4" t="s">
        <v>622</v>
      </c>
      <c r="S4" t="s">
        <v>621</v>
      </c>
      <c r="T4" t="s">
        <v>526</v>
      </c>
      <c r="U4" t="s">
        <v>623</v>
      </c>
    </row>
    <row r="5" spans="1:21" x14ac:dyDescent="0.2">
      <c r="E5" s="13">
        <f>[2]PAN!$L$15</f>
        <v>0.69590069543194277</v>
      </c>
      <c r="F5" s="13">
        <f>[2]PAN!$L$14*2</f>
        <v>3.0619630599005481</v>
      </c>
      <c r="G5" s="13">
        <f>[2]PAN!$L$13*2</f>
        <v>5.1032717665009137</v>
      </c>
      <c r="H5" s="13">
        <f>[2]PAN!$L$12*2</f>
        <v>7.6549076497513697</v>
      </c>
      <c r="J5" s="33" t="s">
        <v>450</v>
      </c>
      <c r="K5" s="33">
        <v>0.22</v>
      </c>
      <c r="L5" s="92">
        <v>0.45</v>
      </c>
      <c r="M5" s="44">
        <v>0.68</v>
      </c>
      <c r="N5" s="45">
        <v>0.96</v>
      </c>
      <c r="O5" s="43">
        <v>1.96</v>
      </c>
      <c r="Q5" s="160"/>
    </row>
    <row r="6" spans="1:21" x14ac:dyDescent="0.2">
      <c r="A6" t="s">
        <v>489</v>
      </c>
      <c r="E6" s="32">
        <f>K9</f>
        <v>32.426287864782118</v>
      </c>
      <c r="F6" s="32">
        <f>L9</f>
        <v>70.41136793495545</v>
      </c>
      <c r="G6" s="32">
        <f>M9</f>
        <v>102.83765579973758</v>
      </c>
      <c r="H6" s="32">
        <f>N9</f>
        <v>155.64618175095416</v>
      </c>
      <c r="J6" s="33" t="s">
        <v>458</v>
      </c>
      <c r="K6" s="33">
        <v>7.0000000000000007E-2</v>
      </c>
      <c r="L6" s="63">
        <v>0.17</v>
      </c>
      <c r="M6" s="47">
        <v>0.23</v>
      </c>
      <c r="N6" s="48">
        <v>0.42</v>
      </c>
      <c r="O6" s="55">
        <v>0.7</v>
      </c>
      <c r="Q6" t="s">
        <v>427</v>
      </c>
      <c r="R6" s="32">
        <f>H12</f>
        <v>338.61711103856743</v>
      </c>
      <c r="S6" s="32">
        <f>H12+N5*'Insumos 1'!$G$13</f>
        <v>427.55778632482696</v>
      </c>
      <c r="T6" s="5">
        <v>660</v>
      </c>
      <c r="U6">
        <v>2</v>
      </c>
    </row>
    <row r="7" spans="1:21" x14ac:dyDescent="0.2">
      <c r="B7" s="13">
        <f>[2]INSUMOS!$K$14</f>
        <v>1.092475834023773</v>
      </c>
      <c r="E7" s="13">
        <f>$B$7*K8</f>
        <v>0.38236654190832059</v>
      </c>
      <c r="F7" s="13">
        <f>$B$7*L8</f>
        <v>0.83028163385806752</v>
      </c>
      <c r="G7" s="13">
        <f>$B$7*M8</f>
        <v>1.2126481757663881</v>
      </c>
      <c r="H7" s="13">
        <f>$B$7*N8</f>
        <v>1.8353594011599386</v>
      </c>
      <c r="J7" s="71" t="s">
        <v>453</v>
      </c>
      <c r="K7" s="71">
        <v>0.06</v>
      </c>
      <c r="L7" s="47">
        <v>0.14000000000000001</v>
      </c>
      <c r="M7" s="47">
        <v>0.2</v>
      </c>
      <c r="N7" s="48">
        <v>0.3</v>
      </c>
      <c r="O7" s="55">
        <v>2.66</v>
      </c>
      <c r="Q7" t="s">
        <v>420</v>
      </c>
      <c r="R7" s="5">
        <f>'Pastel 3 Pecados'!H18</f>
        <v>350.57494438357611</v>
      </c>
      <c r="S7" s="5">
        <f>R7+'Pastel 3 Pecados'!N5*'Insumos 1'!$G$13</f>
        <v>451.55966944818329</v>
      </c>
      <c r="T7" s="5">
        <v>660</v>
      </c>
      <c r="U7">
        <v>2</v>
      </c>
    </row>
    <row r="8" spans="1:21" x14ac:dyDescent="0.2">
      <c r="A8" t="s">
        <v>50</v>
      </c>
      <c r="E8" s="32">
        <f>K15</f>
        <v>7.2082895329629073</v>
      </c>
      <c r="F8" s="32">
        <f>L15</f>
        <v>11.713470491064724</v>
      </c>
      <c r="G8" s="32">
        <f>M15</f>
        <v>18.020723832407267</v>
      </c>
      <c r="H8" s="32">
        <f>N15</f>
        <v>36.041447664814534</v>
      </c>
      <c r="J8" s="33" t="s">
        <v>438</v>
      </c>
      <c r="K8" s="90">
        <f>SUM(K5:K7)</f>
        <v>0.35000000000000003</v>
      </c>
      <c r="L8" s="90">
        <f>SUM(L5:L7)</f>
        <v>0.76</v>
      </c>
      <c r="M8" s="305">
        <f>SUM(M5:M7)</f>
        <v>1.1100000000000001</v>
      </c>
      <c r="N8" s="305">
        <f>SUM(N5:N7)</f>
        <v>1.68</v>
      </c>
      <c r="O8" s="46">
        <f>SUM(O5:O7)</f>
        <v>5.32</v>
      </c>
    </row>
    <row r="9" spans="1:21" x14ac:dyDescent="0.2">
      <c r="A9" t="s">
        <v>510</v>
      </c>
      <c r="E9" s="32">
        <f>K21</f>
        <v>6.90625</v>
      </c>
      <c r="F9" s="32">
        <f>L21</f>
        <v>15.347222222222223</v>
      </c>
      <c r="G9" s="32">
        <f>M21</f>
        <v>19.951388888888889</v>
      </c>
      <c r="H9" s="32">
        <f>N21</f>
        <v>30.694444444444446</v>
      </c>
      <c r="J9" s="33" t="s">
        <v>454</v>
      </c>
      <c r="K9" s="88">
        <f>K8*'Insumos 1'!$G$13</f>
        <v>32.426287864782118</v>
      </c>
      <c r="L9" s="88">
        <f>L8*'Insumos 1'!$G$13</f>
        <v>70.41136793495545</v>
      </c>
      <c r="M9" s="62">
        <f>M8*'Insumos 1'!$G$13</f>
        <v>102.83765579973758</v>
      </c>
      <c r="N9" s="62">
        <f>N8*'Insumos 1'!$G$13</f>
        <v>155.64618175095416</v>
      </c>
      <c r="O9" s="62">
        <f>O8*'Insumos 1'!$G$13</f>
        <v>492.87957554468818</v>
      </c>
    </row>
    <row r="10" spans="1:21" x14ac:dyDescent="0.2">
      <c r="A10" t="s">
        <v>761</v>
      </c>
      <c r="B10" s="13"/>
      <c r="E10" s="13">
        <f>'[2]ARMADO- EMBETUNADO'!$G$9</f>
        <v>6.0976751501122317</v>
      </c>
      <c r="F10" s="13">
        <f>'[2]ARMADO- EMBETUNADO'!$G$9</f>
        <v>6.0976751501122317</v>
      </c>
      <c r="G10" s="13">
        <f>'[2]ARMADO- EMBETUNADO'!$G$9</f>
        <v>6.0976751501122317</v>
      </c>
      <c r="H10" s="13">
        <f>'[2]ARMADO- EMBETUNADO'!$G$9</f>
        <v>6.0976751501122317</v>
      </c>
      <c r="J10" s="354" t="s">
        <v>519</v>
      </c>
      <c r="K10" s="354"/>
      <c r="L10" s="355"/>
      <c r="M10" s="338"/>
      <c r="N10" s="338"/>
      <c r="O10" s="338"/>
    </row>
    <row r="11" spans="1:21" ht="16" thickBot="1" x14ac:dyDescent="0.25">
      <c r="A11" s="98" t="s">
        <v>444</v>
      </c>
      <c r="B11" s="98"/>
      <c r="C11" s="99">
        <f>'Insumos 3'!S8</f>
        <v>2.80714</v>
      </c>
      <c r="D11" s="98"/>
      <c r="E11" s="100">
        <f>'Insumos 3'!O8</f>
        <v>11.486000000000001</v>
      </c>
      <c r="F11" s="99">
        <f>'Insumos 3'!K8</f>
        <v>13.628489999999999</v>
      </c>
      <c r="G11" s="99">
        <f>'Insumos 3'!G8</f>
        <v>15.598399999999998</v>
      </c>
      <c r="H11" s="99">
        <f>'Insumos 3'!C7</f>
        <v>28.574509999999997</v>
      </c>
      <c r="J11" s="33" t="s">
        <v>369</v>
      </c>
      <c r="K11" s="33" t="s">
        <v>370</v>
      </c>
      <c r="L11" s="30" t="s">
        <v>371</v>
      </c>
      <c r="M11" s="41" t="s">
        <v>372</v>
      </c>
      <c r="N11" s="42" t="s">
        <v>373</v>
      </c>
      <c r="O11" s="30" t="s">
        <v>448</v>
      </c>
      <c r="Q11" s="356" t="s">
        <v>827</v>
      </c>
      <c r="R11" s="356"/>
      <c r="T11" s="357" t="s">
        <v>830</v>
      </c>
      <c r="U11" s="357"/>
    </row>
    <row r="12" spans="1:21" ht="16" thickTop="1" x14ac:dyDescent="0.2">
      <c r="A12" t="s">
        <v>455</v>
      </c>
      <c r="C12" s="127">
        <f>SUM(C4:C11)+(G12/10)</f>
        <v>23.818474875667565</v>
      </c>
      <c r="D12" s="127">
        <f>SUM(D4:D11)</f>
        <v>0</v>
      </c>
      <c r="E12" s="127">
        <f>SUM(E4:E11)</f>
        <v>77.965623374933188</v>
      </c>
      <c r="F12" s="127">
        <f>SUM(F4:F11)</f>
        <v>149.61920204563998</v>
      </c>
      <c r="G12" s="127">
        <f>SUM(G4:G11)</f>
        <v>210.11334875667566</v>
      </c>
      <c r="H12" s="127">
        <f>SUM(H4:H11)</f>
        <v>338.61711103856743</v>
      </c>
      <c r="J12" s="33" t="s">
        <v>457</v>
      </c>
      <c r="K12" s="33">
        <v>0.08</v>
      </c>
      <c r="L12" s="43">
        <v>0.13</v>
      </c>
      <c r="M12" s="44">
        <v>0.2</v>
      </c>
      <c r="N12" s="45">
        <v>0.4</v>
      </c>
      <c r="O12" s="43">
        <v>0.4</v>
      </c>
      <c r="Q12" s="74" t="s">
        <v>369</v>
      </c>
      <c r="R12" s="74" t="s">
        <v>370</v>
      </c>
      <c r="U12" s="123" t="s">
        <v>370</v>
      </c>
    </row>
    <row r="13" spans="1:21" ht="16" x14ac:dyDescent="0.2">
      <c r="A13" s="368" t="s">
        <v>791</v>
      </c>
      <c r="C13" s="5">
        <f>SUM(C4:C11)+(G13/10)</f>
        <v>22.577115366429613</v>
      </c>
      <c r="E13" s="32">
        <f>E12-E10-E7-E5</f>
        <v>70.789680987480679</v>
      </c>
      <c r="F13" s="32">
        <f>F12-F10-F7-F5</f>
        <v>139.62928220176914</v>
      </c>
      <c r="G13" s="32">
        <f>G12-G10-G7-G5</f>
        <v>197.69975366429614</v>
      </c>
      <c r="H13" s="32">
        <f>H12-H10-H7-H5</f>
        <v>323.02916883754386</v>
      </c>
      <c r="J13" s="33" t="s">
        <v>458</v>
      </c>
      <c r="K13" s="33"/>
      <c r="L13" s="46"/>
      <c r="M13" s="56"/>
      <c r="N13" s="56"/>
      <c r="O13" s="56">
        <v>0.35</v>
      </c>
      <c r="Q13" s="74" t="s">
        <v>450</v>
      </c>
      <c r="R13" s="74">
        <v>0.22500000000000001</v>
      </c>
      <c r="T13" s="20" t="s">
        <v>445</v>
      </c>
    </row>
    <row r="14" spans="1:21" x14ac:dyDescent="0.2">
      <c r="B14" s="26"/>
      <c r="C14" s="13"/>
      <c r="D14" s="13"/>
      <c r="E14" s="13"/>
      <c r="F14" s="13"/>
      <c r="G14" s="13"/>
      <c r="H14" s="13"/>
      <c r="J14" s="33" t="s">
        <v>459</v>
      </c>
      <c r="K14" s="306">
        <f>SUM(K12:K13)</f>
        <v>0.08</v>
      </c>
      <c r="L14" s="306">
        <f>SUM(L12:L13)</f>
        <v>0.13</v>
      </c>
      <c r="M14" s="306">
        <f t="shared" ref="M14:O14" si="0">SUM(M12:M13)</f>
        <v>0.2</v>
      </c>
      <c r="N14" s="306">
        <f t="shared" si="0"/>
        <v>0.4</v>
      </c>
      <c r="O14" s="56">
        <f t="shared" si="0"/>
        <v>0.75</v>
      </c>
      <c r="Q14" s="74" t="s">
        <v>458</v>
      </c>
      <c r="R14" s="74">
        <v>7.0000000000000007E-2</v>
      </c>
      <c r="T14" t="s">
        <v>488</v>
      </c>
      <c r="U14" s="5">
        <f>'Insumos 2'!T114</f>
        <v>12.762853589735657</v>
      </c>
    </row>
    <row r="15" spans="1:21" x14ac:dyDescent="0.2">
      <c r="C15" s="32"/>
      <c r="D15" s="32"/>
      <c r="E15" s="32"/>
      <c r="F15" s="32"/>
      <c r="G15" s="32"/>
      <c r="H15" s="32"/>
      <c r="J15" s="33" t="s">
        <v>454</v>
      </c>
      <c r="K15" s="58">
        <f>K14*'Costo Materia Prima'!$I$18</f>
        <v>7.2082895329629073</v>
      </c>
      <c r="L15" s="58">
        <f>L14*'Costo Materia Prima'!$I$18</f>
        <v>11.713470491064724</v>
      </c>
      <c r="M15" s="58">
        <f>M14*'Costo Materia Prima'!$I$18</f>
        <v>18.020723832407267</v>
      </c>
      <c r="N15" s="58">
        <f>N14*'Costo Materia Prima'!$I$18</f>
        <v>36.041447664814534</v>
      </c>
      <c r="O15" s="58">
        <f>O14*'Costo Materia Prima'!$I$18</f>
        <v>67.57771437152725</v>
      </c>
      <c r="Q15" s="291" t="s">
        <v>453</v>
      </c>
      <c r="R15" s="291">
        <v>0</v>
      </c>
      <c r="U15" s="5">
        <f>[2]PAN!$L$15</f>
        <v>0.69590069543194277</v>
      </c>
    </row>
    <row r="16" spans="1:21" x14ac:dyDescent="0.2">
      <c r="J16" s="339" t="s">
        <v>299</v>
      </c>
      <c r="K16" s="339"/>
      <c r="L16" s="339"/>
      <c r="M16" s="339"/>
      <c r="N16" s="339"/>
      <c r="O16" s="339"/>
      <c r="Q16" s="74" t="s">
        <v>438</v>
      </c>
      <c r="R16" s="90">
        <f>SUM(R13:R15)</f>
        <v>0.29500000000000004</v>
      </c>
      <c r="T16" t="s">
        <v>489</v>
      </c>
      <c r="U16" s="5">
        <f>R17</f>
        <v>27.330728343173501</v>
      </c>
    </row>
    <row r="17" spans="3:21" x14ac:dyDescent="0.2">
      <c r="C17" s="20"/>
      <c r="D17" s="20"/>
      <c r="E17" s="20"/>
      <c r="F17" s="20"/>
      <c r="G17" s="20"/>
      <c r="H17" s="20"/>
      <c r="J17" s="33" t="s">
        <v>369</v>
      </c>
      <c r="K17" s="33" t="s">
        <v>370</v>
      </c>
      <c r="L17" s="33" t="s">
        <v>371</v>
      </c>
      <c r="M17" s="33" t="s">
        <v>372</v>
      </c>
      <c r="N17" s="33" t="s">
        <v>373</v>
      </c>
      <c r="O17" s="33" t="s">
        <v>448</v>
      </c>
      <c r="Q17" s="74" t="s">
        <v>454</v>
      </c>
      <c r="R17" s="292">
        <f>R16*'Insumos 1'!$G$13</f>
        <v>27.330728343173501</v>
      </c>
      <c r="U17" s="5">
        <f>$B$7*R16</f>
        <v>0.32228037103701307</v>
      </c>
    </row>
    <row r="18" spans="3:21" x14ac:dyDescent="0.2">
      <c r="C18" s="20"/>
      <c r="D18" s="20"/>
      <c r="E18" s="20"/>
      <c r="F18" s="20"/>
      <c r="G18" s="20"/>
      <c r="H18" s="20"/>
      <c r="J18" s="33" t="s">
        <v>450</v>
      </c>
      <c r="K18" s="33">
        <v>0.05</v>
      </c>
      <c r="L18" s="87">
        <v>0.1</v>
      </c>
      <c r="M18" s="87">
        <v>0.13</v>
      </c>
      <c r="N18" s="87">
        <v>0.2</v>
      </c>
      <c r="O18" s="87">
        <v>0.4</v>
      </c>
      <c r="T18" t="s">
        <v>828</v>
      </c>
      <c r="U18" s="5">
        <f>R33</f>
        <v>0</v>
      </c>
    </row>
    <row r="19" spans="3:21" x14ac:dyDescent="0.2">
      <c r="E19" s="32"/>
      <c r="F19" s="13"/>
      <c r="G19" s="13"/>
      <c r="H19" s="13"/>
      <c r="J19" s="33" t="s">
        <v>458</v>
      </c>
      <c r="K19" s="33">
        <v>0.04</v>
      </c>
      <c r="L19" s="87">
        <v>0.1</v>
      </c>
      <c r="M19" s="87">
        <v>0.13</v>
      </c>
      <c r="N19" s="87">
        <v>0.2</v>
      </c>
      <c r="O19" s="87">
        <v>0.2</v>
      </c>
      <c r="Q19" s="356" t="s">
        <v>299</v>
      </c>
      <c r="R19" s="356"/>
      <c r="T19" t="s">
        <v>510</v>
      </c>
      <c r="U19" s="5">
        <f>R23</f>
        <v>5.3715277777777786</v>
      </c>
    </row>
    <row r="20" spans="3:21" x14ac:dyDescent="0.2">
      <c r="E20" s="32"/>
      <c r="F20" s="32"/>
      <c r="G20" s="32"/>
      <c r="H20" s="32"/>
      <c r="J20" s="33" t="s">
        <v>459</v>
      </c>
      <c r="K20" s="90">
        <f>SUM(K18:K19)</f>
        <v>0.09</v>
      </c>
      <c r="L20" s="90">
        <f>SUM(L18:L19)</f>
        <v>0.2</v>
      </c>
      <c r="M20" s="90">
        <f>SUM(M18:M19)</f>
        <v>0.26</v>
      </c>
      <c r="N20" s="90">
        <f>SUM(N18:N19)</f>
        <v>0.4</v>
      </c>
      <c r="O20" s="87">
        <f>SUM(O18:O19)</f>
        <v>0.60000000000000009</v>
      </c>
      <c r="Q20" s="74" t="s">
        <v>369</v>
      </c>
      <c r="R20" s="74" t="s">
        <v>370</v>
      </c>
      <c r="T20" t="s">
        <v>761</v>
      </c>
      <c r="U20" s="5">
        <f>'[2]ARMADO- EMBETUNADO'!$G$9</f>
        <v>6.0976751501122317</v>
      </c>
    </row>
    <row r="21" spans="3:21" ht="16" thickBot="1" x14ac:dyDescent="0.25">
      <c r="E21" s="13"/>
      <c r="F21" s="13"/>
      <c r="G21" s="13"/>
      <c r="H21" s="13"/>
      <c r="J21" s="33" t="s">
        <v>454</v>
      </c>
      <c r="K21" s="91">
        <f>K20*'Costo Materia Prima'!$I$11</f>
        <v>6.90625</v>
      </c>
      <c r="L21" s="91">
        <f>L20*'Costo Materia Prima'!$I$11</f>
        <v>15.347222222222223</v>
      </c>
      <c r="M21" s="91">
        <f>M20*'Costo Materia Prima'!$I$11</f>
        <v>19.951388888888889</v>
      </c>
      <c r="N21" s="91">
        <f>N20*'Costo Materia Prima'!$I$11</f>
        <v>30.694444444444446</v>
      </c>
      <c r="O21" s="91">
        <f>O20*'Insumos 1'!$G$71</f>
        <v>7.3406853821119977</v>
      </c>
      <c r="Q21" s="74" t="s">
        <v>458</v>
      </c>
      <c r="R21" s="74">
        <v>7.0000000000000007E-2</v>
      </c>
      <c r="T21" s="98" t="s">
        <v>444</v>
      </c>
      <c r="U21" s="100">
        <f>'Insumos 3'!O8</f>
        <v>11.486000000000001</v>
      </c>
    </row>
    <row r="22" spans="3:21" ht="16" thickTop="1" x14ac:dyDescent="0.2">
      <c r="E22" s="32"/>
      <c r="F22" s="32"/>
      <c r="G22" s="32"/>
      <c r="H22" s="32"/>
      <c r="J22" s="354" t="s">
        <v>552</v>
      </c>
      <c r="K22" s="354"/>
      <c r="L22" s="355"/>
      <c r="M22" s="355"/>
      <c r="N22" s="355"/>
      <c r="O22" s="355"/>
      <c r="Q22" s="74" t="s">
        <v>459</v>
      </c>
      <c r="R22" s="90">
        <f>SUM(R21:R21)</f>
        <v>7.0000000000000007E-2</v>
      </c>
      <c r="T22" t="s">
        <v>455</v>
      </c>
      <c r="U22" s="5">
        <f>SUM(U14:U21)</f>
        <v>64.066965927268129</v>
      </c>
    </row>
    <row r="23" spans="3:21" x14ac:dyDescent="0.2">
      <c r="E23" s="32"/>
      <c r="F23" s="32"/>
      <c r="G23" s="32"/>
      <c r="H23" s="32"/>
      <c r="J23" s="33" t="s">
        <v>369</v>
      </c>
      <c r="K23" s="33" t="s">
        <v>370</v>
      </c>
      <c r="L23" s="30" t="s">
        <v>371</v>
      </c>
      <c r="M23" s="41" t="s">
        <v>372</v>
      </c>
      <c r="N23" s="42" t="s">
        <v>373</v>
      </c>
      <c r="O23" s="30" t="s">
        <v>448</v>
      </c>
      <c r="Q23" s="74" t="s">
        <v>454</v>
      </c>
      <c r="R23" s="293">
        <f>R22*'Costo Materia Prima'!$I$11</f>
        <v>5.3715277777777786</v>
      </c>
      <c r="T23" t="s">
        <v>791</v>
      </c>
      <c r="U23" s="5">
        <f>U22-U15-U17-U20</f>
        <v>56.951109710686943</v>
      </c>
    </row>
    <row r="24" spans="3:21" x14ac:dyDescent="0.2">
      <c r="E24" s="13"/>
      <c r="F24" s="13"/>
      <c r="G24" s="13"/>
      <c r="H24" s="13"/>
      <c r="J24" s="33" t="s">
        <v>553</v>
      </c>
      <c r="K24" s="33">
        <f>0.04*2</f>
        <v>0.08</v>
      </c>
      <c r="L24" s="307">
        <f>0.08*2</f>
        <v>0.16</v>
      </c>
      <c r="M24" s="308">
        <f>0.1*2</f>
        <v>0.2</v>
      </c>
      <c r="N24" s="309">
        <f>0.13*2</f>
        <v>0.26</v>
      </c>
      <c r="O24" s="43">
        <v>0.8</v>
      </c>
    </row>
    <row r="25" spans="3:21" x14ac:dyDescent="0.2">
      <c r="C25" s="32"/>
      <c r="E25" s="95"/>
      <c r="F25" s="32"/>
      <c r="G25" s="32"/>
      <c r="H25" s="32"/>
      <c r="J25" s="33" t="s">
        <v>454</v>
      </c>
      <c r="K25" s="57">
        <f>K24*'Insumos 1'!$G$32</f>
        <v>3.1611760116421568</v>
      </c>
      <c r="L25" s="57">
        <f>L24*'Insumos 1'!$G$32</f>
        <v>6.3223520232843136</v>
      </c>
      <c r="M25" s="57">
        <f>M24*'Insumos 1'!$G$32</f>
        <v>7.902940029105392</v>
      </c>
      <c r="N25" s="57">
        <f>N24*'Insumos 1'!$G$32</f>
        <v>10.273822037837009</v>
      </c>
      <c r="O25" s="57">
        <f>O24*'Insumos 1'!$G$32</f>
        <v>31.611760116421568</v>
      </c>
      <c r="Q25" s="356" t="s">
        <v>552</v>
      </c>
      <c r="R25" s="356"/>
      <c r="U25" s="13">
        <f>U22/(1-0.5)</f>
        <v>128.13393185453626</v>
      </c>
    </row>
    <row r="26" spans="3:21" x14ac:dyDescent="0.2">
      <c r="C26" s="111"/>
      <c r="D26" s="111"/>
      <c r="E26" s="111"/>
      <c r="F26" s="111"/>
      <c r="G26" s="111"/>
      <c r="H26" s="111"/>
      <c r="Q26" s="74" t="s">
        <v>369</v>
      </c>
      <c r="R26" s="74" t="s">
        <v>370</v>
      </c>
      <c r="U26" s="233">
        <v>195</v>
      </c>
    </row>
    <row r="27" spans="3:21" x14ac:dyDescent="0.2">
      <c r="Q27" s="74" t="s">
        <v>553</v>
      </c>
      <c r="R27" s="74">
        <f>0.04*2</f>
        <v>0.08</v>
      </c>
    </row>
    <row r="28" spans="3:21" x14ac:dyDescent="0.2">
      <c r="Q28" s="74" t="s">
        <v>454</v>
      </c>
      <c r="R28" s="294">
        <f>R27*'Insumos 1'!$G$32</f>
        <v>3.1611760116421568</v>
      </c>
    </row>
    <row r="30" spans="3:21" x14ac:dyDescent="0.2">
      <c r="Q30" s="356" t="s">
        <v>828</v>
      </c>
      <c r="R30" s="356"/>
    </row>
    <row r="31" spans="3:21" x14ac:dyDescent="0.2">
      <c r="Q31" s="74" t="s">
        <v>369</v>
      </c>
      <c r="R31" s="74" t="s">
        <v>370</v>
      </c>
    </row>
    <row r="32" spans="3:21" x14ac:dyDescent="0.2">
      <c r="Q32" s="74" t="s">
        <v>829</v>
      </c>
      <c r="R32" s="74">
        <f>12/1000</f>
        <v>1.2E-2</v>
      </c>
    </row>
    <row r="33" spans="2:18" x14ac:dyDescent="0.2">
      <c r="B33" s="5"/>
      <c r="C33" s="5"/>
      <c r="D33" s="5"/>
      <c r="E33" s="5"/>
      <c r="F33" s="5"/>
      <c r="G33" s="5"/>
      <c r="H33" s="5"/>
      <c r="Q33" s="74" t="s">
        <v>454</v>
      </c>
      <c r="R33" s="294">
        <f>R32*'Costo Materia Prima'!I181</f>
        <v>0</v>
      </c>
    </row>
    <row r="34" spans="2:18" x14ac:dyDescent="0.2">
      <c r="C34" s="5"/>
      <c r="D34" s="5"/>
      <c r="E34" s="5"/>
      <c r="F34" s="5"/>
      <c r="G34" s="5"/>
      <c r="H34" s="5"/>
    </row>
    <row r="36" spans="2:18" x14ac:dyDescent="0.2">
      <c r="F36" s="26"/>
      <c r="G36" s="26"/>
      <c r="H36" s="26"/>
    </row>
    <row r="37" spans="2:18" x14ac:dyDescent="0.2">
      <c r="F37" s="26"/>
      <c r="G37" s="26"/>
      <c r="H37" s="26"/>
    </row>
    <row r="38" spans="2:18" x14ac:dyDescent="0.2">
      <c r="E38" s="26"/>
      <c r="F38" s="26"/>
      <c r="G38" s="26"/>
      <c r="H38" s="26"/>
    </row>
    <row r="39" spans="2:18" x14ac:dyDescent="0.2">
      <c r="E39" s="26"/>
      <c r="F39" s="26"/>
      <c r="G39" s="26"/>
      <c r="H39" s="26"/>
    </row>
    <row r="40" spans="2:18" x14ac:dyDescent="0.2">
      <c r="E40" s="32"/>
      <c r="F40" s="32"/>
      <c r="G40" s="32"/>
      <c r="H40" s="32"/>
    </row>
  </sheetData>
  <mergeCells count="10">
    <mergeCell ref="Q30:R30"/>
    <mergeCell ref="T11:U11"/>
    <mergeCell ref="Q11:R11"/>
    <mergeCell ref="Q19:R19"/>
    <mergeCell ref="Q25:R25"/>
    <mergeCell ref="J3:O3"/>
    <mergeCell ref="J10:O10"/>
    <mergeCell ref="J16:O16"/>
    <mergeCell ref="J22:O22"/>
    <mergeCell ref="C2:H2"/>
  </mergeCells>
  <pageMargins left="0.7" right="0.7" top="0.75" bottom="0.75" header="0.3" footer="0.3"/>
  <pageSetup orientation="portrait" horizontalDpi="0" verticalDpi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A11CBE-B50D-8F40-BD0F-E6FC891C00CB}">
  <sheetPr>
    <pageSetUpPr fitToPage="1"/>
  </sheetPr>
  <dimension ref="A1:AL92"/>
  <sheetViews>
    <sheetView zoomScale="110" zoomScaleNormal="110" workbookViewId="0">
      <pane xSplit="2" ySplit="2" topLeftCell="C3" activePane="bottomRight" state="frozen"/>
      <selection pane="topRight" activeCell="C1" sqref="C1"/>
      <selection pane="bottomLeft" activeCell="A3" sqref="A3"/>
      <selection pane="bottomRight" activeCell="D9" sqref="D9"/>
    </sheetView>
  </sheetViews>
  <sheetFormatPr baseColWidth="10" defaultColWidth="11.5" defaultRowHeight="15" x14ac:dyDescent="0.2"/>
  <cols>
    <col min="2" max="2" width="18.1640625" bestFit="1" customWidth="1"/>
    <col min="3" max="3" width="9.6640625" customWidth="1"/>
    <col min="4" max="7" width="9.33203125" customWidth="1"/>
    <col min="8" max="8" width="11" customWidth="1"/>
    <col min="9" max="9" width="14.33203125" customWidth="1"/>
    <col min="10" max="10" width="14.1640625" customWidth="1"/>
    <col min="11" max="11" width="12.33203125" customWidth="1"/>
    <col min="12" max="12" width="11.33203125" customWidth="1"/>
    <col min="13" max="14" width="11.5" customWidth="1"/>
    <col min="15" max="15" width="19.33203125" hidden="1" customWidth="1"/>
    <col min="16" max="20" width="11.5" hidden="1" customWidth="1"/>
    <col min="21" max="21" width="16" hidden="1" customWidth="1"/>
    <col min="22" max="26" width="11.5" hidden="1" customWidth="1"/>
    <col min="27" max="27" width="12.6640625" hidden="1" customWidth="1"/>
    <col min="28" max="32" width="11.5" hidden="1" customWidth="1"/>
    <col min="33" max="33" width="18.1640625" bestFit="1" customWidth="1"/>
    <col min="34" max="34" width="14.1640625" customWidth="1"/>
    <col min="35" max="35" width="12.33203125" customWidth="1"/>
    <col min="36" max="36" width="12.83203125" bestFit="1" customWidth="1"/>
    <col min="40" max="41" width="13.5" bestFit="1" customWidth="1"/>
    <col min="42" max="42" width="14.33203125" customWidth="1"/>
    <col min="43" max="43" width="14.1640625" customWidth="1"/>
    <col min="44" max="44" width="12.33203125" customWidth="1"/>
    <col min="45" max="45" width="12.5" customWidth="1"/>
  </cols>
  <sheetData>
    <row r="1" spans="1:38" x14ac:dyDescent="0.2">
      <c r="F1" s="32"/>
      <c r="G1" s="32"/>
      <c r="H1" s="32"/>
      <c r="I1" s="221" t="s">
        <v>617</v>
      </c>
      <c r="J1" s="220">
        <v>0.45</v>
      </c>
      <c r="K1" s="217"/>
      <c r="L1" s="217"/>
      <c r="M1" s="201"/>
      <c r="N1" s="201"/>
      <c r="O1" s="111" t="s">
        <v>620</v>
      </c>
      <c r="P1" s="214">
        <v>0.4</v>
      </c>
      <c r="Q1" s="26"/>
      <c r="R1" s="26"/>
      <c r="U1" s="111" t="s">
        <v>619</v>
      </c>
      <c r="V1" s="214">
        <v>0.35</v>
      </c>
      <c r="W1" s="26"/>
      <c r="X1" s="26"/>
      <c r="AA1" s="111" t="s">
        <v>618</v>
      </c>
      <c r="AB1" s="214">
        <v>0.3</v>
      </c>
      <c r="AC1" s="26"/>
      <c r="AD1" s="26"/>
      <c r="AG1" s="232" t="s">
        <v>700</v>
      </c>
      <c r="AH1" s="223"/>
      <c r="AI1" s="224"/>
      <c r="AJ1" s="224"/>
      <c r="AK1" s="225"/>
      <c r="AL1" s="225"/>
    </row>
    <row r="2" spans="1:38" ht="16" thickBot="1" x14ac:dyDescent="0.25">
      <c r="A2" s="15"/>
      <c r="B2" s="15"/>
      <c r="C2" s="143" t="s">
        <v>375</v>
      </c>
      <c r="D2" s="143" t="s">
        <v>370</v>
      </c>
      <c r="E2" s="143" t="s">
        <v>371</v>
      </c>
      <c r="F2" s="143" t="s">
        <v>372</v>
      </c>
      <c r="G2" s="143" t="s">
        <v>373</v>
      </c>
      <c r="H2" s="143" t="s">
        <v>413</v>
      </c>
      <c r="I2" s="218" t="s">
        <v>375</v>
      </c>
      <c r="J2" s="218" t="s">
        <v>370</v>
      </c>
      <c r="K2" s="218" t="s">
        <v>371</v>
      </c>
      <c r="L2" s="218" t="s">
        <v>372</v>
      </c>
      <c r="M2" s="218" t="s">
        <v>373</v>
      </c>
      <c r="N2" s="218" t="s">
        <v>413</v>
      </c>
      <c r="O2" s="143" t="s">
        <v>375</v>
      </c>
      <c r="P2" s="143" t="s">
        <v>370</v>
      </c>
      <c r="Q2" s="143" t="s">
        <v>371</v>
      </c>
      <c r="R2" s="143" t="s">
        <v>372</v>
      </c>
      <c r="S2" s="143" t="s">
        <v>373</v>
      </c>
      <c r="T2" s="143" t="s">
        <v>413</v>
      </c>
      <c r="U2" s="143" t="s">
        <v>375</v>
      </c>
      <c r="V2" s="143" t="s">
        <v>370</v>
      </c>
      <c r="W2" s="143" t="s">
        <v>371</v>
      </c>
      <c r="X2" s="143" t="s">
        <v>372</v>
      </c>
      <c r="Y2" s="143" t="s">
        <v>373</v>
      </c>
      <c r="Z2" s="143" t="s">
        <v>413</v>
      </c>
      <c r="AA2" s="143" t="s">
        <v>375</v>
      </c>
      <c r="AB2" s="143" t="s">
        <v>370</v>
      </c>
      <c r="AC2" s="143" t="s">
        <v>371</v>
      </c>
      <c r="AD2" s="143" t="s">
        <v>372</v>
      </c>
      <c r="AE2" s="143" t="s">
        <v>373</v>
      </c>
      <c r="AF2" s="143" t="s">
        <v>413</v>
      </c>
      <c r="AG2" s="228" t="s">
        <v>375</v>
      </c>
      <c r="AH2" s="228" t="s">
        <v>370</v>
      </c>
      <c r="AI2" s="228" t="s">
        <v>371</v>
      </c>
      <c r="AJ2" s="228" t="s">
        <v>372</v>
      </c>
      <c r="AK2" s="228" t="s">
        <v>373</v>
      </c>
      <c r="AL2" s="228" t="s">
        <v>413</v>
      </c>
    </row>
    <row r="3" spans="1:38" x14ac:dyDescent="0.2">
      <c r="A3" s="20" t="s">
        <v>414</v>
      </c>
      <c r="B3" s="153" t="s">
        <v>50</v>
      </c>
      <c r="C3" s="13">
        <v>0</v>
      </c>
      <c r="D3" s="5">
        <v>0</v>
      </c>
      <c r="E3" s="5">
        <v>0</v>
      </c>
      <c r="F3" s="13">
        <v>395</v>
      </c>
      <c r="G3" s="13">
        <v>495</v>
      </c>
      <c r="H3" s="13">
        <v>70</v>
      </c>
      <c r="I3" s="219">
        <f>_xlfn.IFNA(C3/$J$1,0)</f>
        <v>0</v>
      </c>
      <c r="J3" s="219">
        <f t="shared" ref="J3:N16" si="0">_xlfn.IFNA(D3/$J$1,0)</f>
        <v>0</v>
      </c>
      <c r="K3" s="219">
        <f t="shared" si="0"/>
        <v>0</v>
      </c>
      <c r="L3" s="219">
        <f>_xlfn.IFNA(F3/$J$1,0)</f>
        <v>877.77777777777771</v>
      </c>
      <c r="M3" s="219">
        <f t="shared" si="0"/>
        <v>1100</v>
      </c>
      <c r="N3" s="219">
        <f t="shared" si="0"/>
        <v>155.55555555555554</v>
      </c>
      <c r="O3" s="32">
        <f>_xlfn.IFNA(C3/$P$1,0)</f>
        <v>0</v>
      </c>
      <c r="P3" s="32">
        <f t="shared" ref="P3:T16" si="1">_xlfn.IFNA(D3/$P$1,0)</f>
        <v>0</v>
      </c>
      <c r="Q3" s="32">
        <f t="shared" si="1"/>
        <v>0</v>
      </c>
      <c r="R3" s="32">
        <f t="shared" si="1"/>
        <v>987.5</v>
      </c>
      <c r="S3" s="32">
        <f t="shared" si="1"/>
        <v>1237.5</v>
      </c>
      <c r="T3" s="32">
        <f t="shared" si="1"/>
        <v>175</v>
      </c>
      <c r="U3" s="32">
        <f>_xlfn.IFNA(C3/$V$1,0)</f>
        <v>0</v>
      </c>
      <c r="V3" s="32">
        <f t="shared" ref="V3:Z16" si="2">_xlfn.IFNA(D3/$V$1,0)</f>
        <v>0</v>
      </c>
      <c r="W3" s="32">
        <f t="shared" si="2"/>
        <v>0</v>
      </c>
      <c r="X3" s="32">
        <f t="shared" si="2"/>
        <v>1128.5714285714287</v>
      </c>
      <c r="Y3" s="32">
        <f t="shared" si="2"/>
        <v>1414.2857142857144</v>
      </c>
      <c r="Z3" s="32">
        <f t="shared" si="2"/>
        <v>200</v>
      </c>
      <c r="AA3" s="32">
        <f>_xlfn.IFNA(C3/$AB$1,0)</f>
        <v>0</v>
      </c>
      <c r="AB3" s="32">
        <f t="shared" ref="AB3:AF16" si="3">_xlfn.IFNA(D3/$AB$1,0)</f>
        <v>0</v>
      </c>
      <c r="AC3" s="32">
        <f t="shared" si="3"/>
        <v>0</v>
      </c>
      <c r="AD3" s="32">
        <f t="shared" si="3"/>
        <v>1316.6666666666667</v>
      </c>
      <c r="AE3" s="32">
        <f t="shared" si="3"/>
        <v>1650</v>
      </c>
      <c r="AF3" s="32">
        <f t="shared" si="3"/>
        <v>233.33333333333334</v>
      </c>
      <c r="AG3" s="229">
        <v>55</v>
      </c>
      <c r="AH3" s="229"/>
      <c r="AI3" s="229"/>
      <c r="AJ3" s="229">
        <v>395</v>
      </c>
      <c r="AK3" s="229">
        <v>495</v>
      </c>
      <c r="AL3" s="229">
        <v>70</v>
      </c>
    </row>
    <row r="4" spans="1:38" x14ac:dyDescent="0.2">
      <c r="A4" s="20"/>
      <c r="B4" s="153" t="s">
        <v>103</v>
      </c>
      <c r="C4" s="13">
        <v>0</v>
      </c>
      <c r="D4" s="5">
        <v>0</v>
      </c>
      <c r="E4" s="5">
        <v>0</v>
      </c>
      <c r="F4" s="13">
        <v>380</v>
      </c>
      <c r="G4" s="13">
        <v>475</v>
      </c>
      <c r="H4" s="13">
        <v>70</v>
      </c>
      <c r="I4" s="219">
        <f t="shared" ref="I4:N41" si="4">_xlfn.IFNA(C4/$J$1,0)</f>
        <v>0</v>
      </c>
      <c r="J4" s="219">
        <f t="shared" si="0"/>
        <v>0</v>
      </c>
      <c r="K4" s="219">
        <f t="shared" si="0"/>
        <v>0</v>
      </c>
      <c r="L4" s="219">
        <f t="shared" si="0"/>
        <v>844.44444444444446</v>
      </c>
      <c r="M4" s="219">
        <f t="shared" si="0"/>
        <v>1055.5555555555554</v>
      </c>
      <c r="N4" s="219">
        <f t="shared" si="0"/>
        <v>155.55555555555554</v>
      </c>
      <c r="O4" s="32">
        <f t="shared" ref="O4:T27" si="5">_xlfn.IFNA(C4/$P$1,0)</f>
        <v>0</v>
      </c>
      <c r="P4" s="32">
        <f t="shared" si="1"/>
        <v>0</v>
      </c>
      <c r="Q4" s="32">
        <f t="shared" si="1"/>
        <v>0</v>
      </c>
      <c r="R4" s="32">
        <f t="shared" si="1"/>
        <v>950</v>
      </c>
      <c r="S4" s="32">
        <f t="shared" si="1"/>
        <v>1187.5</v>
      </c>
      <c r="T4" s="32">
        <f t="shared" si="1"/>
        <v>175</v>
      </c>
      <c r="U4" s="32">
        <f t="shared" ref="U4:Z27" si="6">_xlfn.IFNA(C4/$V$1,0)</f>
        <v>0</v>
      </c>
      <c r="V4" s="32">
        <f t="shared" si="2"/>
        <v>0</v>
      </c>
      <c r="W4" s="32">
        <f t="shared" si="2"/>
        <v>0</v>
      </c>
      <c r="X4" s="32">
        <f t="shared" si="2"/>
        <v>1085.7142857142858</v>
      </c>
      <c r="Y4" s="32">
        <f t="shared" si="2"/>
        <v>1357.1428571428573</v>
      </c>
      <c r="Z4" s="32">
        <f t="shared" si="2"/>
        <v>200</v>
      </c>
      <c r="AA4" s="32">
        <f t="shared" ref="AA4:AF27" si="7">_xlfn.IFNA(C4/$AB$1,0)</f>
        <v>0</v>
      </c>
      <c r="AB4" s="32">
        <f t="shared" si="3"/>
        <v>0</v>
      </c>
      <c r="AC4" s="32">
        <f t="shared" si="3"/>
        <v>0</v>
      </c>
      <c r="AD4" s="32">
        <f t="shared" si="3"/>
        <v>1266.6666666666667</v>
      </c>
      <c r="AE4" s="32">
        <f t="shared" si="3"/>
        <v>1583.3333333333335</v>
      </c>
      <c r="AF4" s="32">
        <f t="shared" si="3"/>
        <v>233.33333333333334</v>
      </c>
      <c r="AG4" s="229">
        <v>55</v>
      </c>
      <c r="AH4" s="229"/>
      <c r="AI4" s="229"/>
      <c r="AJ4" s="229">
        <v>380</v>
      </c>
      <c r="AK4" s="237">
        <v>475</v>
      </c>
      <c r="AL4" s="229">
        <v>70</v>
      </c>
    </row>
    <row r="5" spans="1:38" x14ac:dyDescent="0.2">
      <c r="A5" s="20"/>
      <c r="B5" s="153" t="s">
        <v>415</v>
      </c>
      <c r="C5" s="13">
        <v>0</v>
      </c>
      <c r="D5" s="5">
        <v>0</v>
      </c>
      <c r="E5" s="5">
        <v>0</v>
      </c>
      <c r="F5" s="13">
        <v>370</v>
      </c>
      <c r="G5" s="13">
        <v>475</v>
      </c>
      <c r="H5" s="13">
        <v>70</v>
      </c>
      <c r="I5" s="219">
        <f t="shared" si="4"/>
        <v>0</v>
      </c>
      <c r="J5" s="219">
        <f t="shared" si="0"/>
        <v>0</v>
      </c>
      <c r="K5" s="219">
        <f t="shared" si="0"/>
        <v>0</v>
      </c>
      <c r="L5" s="219">
        <f t="shared" si="0"/>
        <v>822.22222222222217</v>
      </c>
      <c r="M5" s="219">
        <f t="shared" si="0"/>
        <v>1055.5555555555554</v>
      </c>
      <c r="N5" s="219">
        <f t="shared" si="0"/>
        <v>155.55555555555554</v>
      </c>
      <c r="O5" s="32">
        <f t="shared" si="5"/>
        <v>0</v>
      </c>
      <c r="P5" s="32">
        <f t="shared" si="1"/>
        <v>0</v>
      </c>
      <c r="Q5" s="32">
        <f t="shared" si="1"/>
        <v>0</v>
      </c>
      <c r="R5" s="32">
        <f t="shared" si="1"/>
        <v>925</v>
      </c>
      <c r="S5" s="32">
        <f t="shared" si="1"/>
        <v>1187.5</v>
      </c>
      <c r="T5" s="32">
        <f t="shared" si="1"/>
        <v>175</v>
      </c>
      <c r="U5" s="32">
        <f t="shared" si="6"/>
        <v>0</v>
      </c>
      <c r="V5" s="32">
        <f t="shared" si="2"/>
        <v>0</v>
      </c>
      <c r="W5" s="32">
        <f t="shared" si="2"/>
        <v>0</v>
      </c>
      <c r="X5" s="32">
        <f t="shared" si="2"/>
        <v>1057.1428571428571</v>
      </c>
      <c r="Y5" s="32">
        <f t="shared" si="2"/>
        <v>1357.1428571428573</v>
      </c>
      <c r="Z5" s="32">
        <f t="shared" si="2"/>
        <v>200</v>
      </c>
      <c r="AA5" s="32">
        <f t="shared" si="7"/>
        <v>0</v>
      </c>
      <c r="AB5" s="32">
        <f t="shared" si="3"/>
        <v>0</v>
      </c>
      <c r="AC5" s="32">
        <f t="shared" si="3"/>
        <v>0</v>
      </c>
      <c r="AD5" s="32">
        <f t="shared" si="3"/>
        <v>1233.3333333333335</v>
      </c>
      <c r="AE5" s="32">
        <f t="shared" si="3"/>
        <v>1583.3333333333335</v>
      </c>
      <c r="AF5" s="32">
        <f t="shared" si="3"/>
        <v>233.33333333333334</v>
      </c>
      <c r="AG5" s="229">
        <v>55</v>
      </c>
      <c r="AH5" s="229"/>
      <c r="AI5" s="229"/>
      <c r="AJ5" s="229">
        <v>370</v>
      </c>
      <c r="AK5" s="229">
        <v>475</v>
      </c>
      <c r="AL5" s="229">
        <v>70</v>
      </c>
    </row>
    <row r="6" spans="1:38" x14ac:dyDescent="0.2">
      <c r="A6" s="20"/>
      <c r="B6" s="153"/>
      <c r="C6" s="13"/>
      <c r="D6" s="5"/>
      <c r="E6" s="5"/>
      <c r="F6" s="13"/>
      <c r="G6" s="13"/>
      <c r="H6" s="13"/>
      <c r="I6" s="219"/>
      <c r="J6" s="219"/>
      <c r="K6" s="219"/>
      <c r="L6" s="219"/>
      <c r="M6" s="219"/>
      <c r="N6" s="219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229"/>
      <c r="AH6" s="229"/>
      <c r="AI6" s="229"/>
      <c r="AJ6" s="229"/>
      <c r="AK6" s="229"/>
      <c r="AL6" s="229"/>
    </row>
    <row r="7" spans="1:38" x14ac:dyDescent="0.2">
      <c r="A7" s="20"/>
      <c r="B7" s="153" t="s">
        <v>417</v>
      </c>
      <c r="C7" s="13">
        <f>Pay!C58</f>
        <v>0</v>
      </c>
      <c r="D7" s="5">
        <v>0</v>
      </c>
      <c r="E7" s="5">
        <v>0</v>
      </c>
      <c r="F7" s="13">
        <f>Pay!D58</f>
        <v>86.851881230638298</v>
      </c>
      <c r="G7" s="13">
        <f>Pay!E58</f>
        <v>148.87704400176742</v>
      </c>
      <c r="H7" s="13">
        <f>Pay!F58</f>
        <v>21.310270500220927</v>
      </c>
      <c r="I7" s="219">
        <f t="shared" si="4"/>
        <v>0</v>
      </c>
      <c r="J7" s="219">
        <f t="shared" si="0"/>
        <v>0</v>
      </c>
      <c r="K7" s="219">
        <f t="shared" si="0"/>
        <v>0</v>
      </c>
      <c r="L7" s="219">
        <f t="shared" si="0"/>
        <v>193.00418051252956</v>
      </c>
      <c r="M7" s="219">
        <f t="shared" si="0"/>
        <v>330.83787555948317</v>
      </c>
      <c r="N7" s="219">
        <f t="shared" si="0"/>
        <v>47.356156667157613</v>
      </c>
      <c r="O7" s="32">
        <f t="shared" si="5"/>
        <v>0</v>
      </c>
      <c r="P7" s="32">
        <f t="shared" si="1"/>
        <v>0</v>
      </c>
      <c r="Q7" s="32">
        <f t="shared" si="1"/>
        <v>0</v>
      </c>
      <c r="R7" s="32">
        <f t="shared" si="1"/>
        <v>217.12970307659575</v>
      </c>
      <c r="S7" s="32">
        <f t="shared" si="1"/>
        <v>372.1926100044185</v>
      </c>
      <c r="T7" s="32">
        <f t="shared" si="1"/>
        <v>53.275676250552316</v>
      </c>
      <c r="U7" s="32">
        <f t="shared" si="6"/>
        <v>0</v>
      </c>
      <c r="V7" s="32">
        <f t="shared" si="2"/>
        <v>0</v>
      </c>
      <c r="W7" s="32">
        <f t="shared" si="2"/>
        <v>0</v>
      </c>
      <c r="X7" s="32">
        <f t="shared" si="2"/>
        <v>248.14823208753802</v>
      </c>
      <c r="Y7" s="32">
        <f t="shared" si="2"/>
        <v>425.36298286219267</v>
      </c>
      <c r="Z7" s="32">
        <f t="shared" si="2"/>
        <v>60.886487143488367</v>
      </c>
      <c r="AA7" s="32">
        <f t="shared" si="7"/>
        <v>0</v>
      </c>
      <c r="AB7" s="32">
        <f t="shared" si="3"/>
        <v>0</v>
      </c>
      <c r="AC7" s="32">
        <f t="shared" si="3"/>
        <v>0</v>
      </c>
      <c r="AD7" s="32">
        <f t="shared" si="3"/>
        <v>289.50627076879437</v>
      </c>
      <c r="AE7" s="32">
        <f t="shared" si="3"/>
        <v>496.25681333922472</v>
      </c>
      <c r="AF7" s="32">
        <f t="shared" si="3"/>
        <v>71.03423500073643</v>
      </c>
      <c r="AG7" s="229">
        <v>45</v>
      </c>
      <c r="AH7" s="229"/>
      <c r="AI7" s="229"/>
      <c r="AJ7" s="229"/>
      <c r="AK7" s="229"/>
      <c r="AL7" s="229">
        <v>60</v>
      </c>
    </row>
    <row r="8" spans="1:38" ht="16" thickBot="1" x14ac:dyDescent="0.25">
      <c r="A8" s="107"/>
      <c r="B8" s="154" t="s">
        <v>418</v>
      </c>
      <c r="C8" s="86">
        <f>Pay!C59</f>
        <v>0</v>
      </c>
      <c r="D8" s="100">
        <v>0</v>
      </c>
      <c r="E8" s="100">
        <v>0</v>
      </c>
      <c r="F8" s="86">
        <f>Pay!D59</f>
        <v>115.18762147703123</v>
      </c>
      <c r="G8" s="86">
        <f>Pay!E59</f>
        <v>195.44594441242236</v>
      </c>
      <c r="H8" s="86">
        <f>Pay!F59</f>
        <v>27.131383051552795</v>
      </c>
      <c r="I8" s="219">
        <f t="shared" si="4"/>
        <v>0</v>
      </c>
      <c r="J8" s="219">
        <f t="shared" si="0"/>
        <v>0</v>
      </c>
      <c r="K8" s="219">
        <f t="shared" si="0"/>
        <v>0</v>
      </c>
      <c r="L8" s="219">
        <f t="shared" si="0"/>
        <v>255.97249217118051</v>
      </c>
      <c r="M8" s="219">
        <f t="shared" si="0"/>
        <v>434.32432091649412</v>
      </c>
      <c r="N8" s="219">
        <f t="shared" si="0"/>
        <v>60.291962336783989</v>
      </c>
      <c r="O8" s="32">
        <f t="shared" si="5"/>
        <v>0</v>
      </c>
      <c r="P8" s="32">
        <f t="shared" si="1"/>
        <v>0</v>
      </c>
      <c r="Q8" s="32">
        <f t="shared" si="1"/>
        <v>0</v>
      </c>
      <c r="R8" s="32">
        <f t="shared" si="1"/>
        <v>287.96905369257803</v>
      </c>
      <c r="S8" s="32">
        <f t="shared" si="1"/>
        <v>488.61486103105591</v>
      </c>
      <c r="T8" s="32">
        <f t="shared" si="1"/>
        <v>67.828457628881978</v>
      </c>
      <c r="U8" s="32">
        <f t="shared" si="6"/>
        <v>0</v>
      </c>
      <c r="V8" s="32">
        <f t="shared" si="2"/>
        <v>0</v>
      </c>
      <c r="W8" s="32">
        <f t="shared" si="2"/>
        <v>0</v>
      </c>
      <c r="X8" s="32">
        <f t="shared" si="2"/>
        <v>329.10748993437494</v>
      </c>
      <c r="Y8" s="32">
        <f t="shared" si="2"/>
        <v>558.41698403549253</v>
      </c>
      <c r="Z8" s="32">
        <f t="shared" si="2"/>
        <v>77.51823729015085</v>
      </c>
      <c r="AA8" s="32">
        <f t="shared" si="7"/>
        <v>0</v>
      </c>
      <c r="AB8" s="32">
        <f t="shared" si="3"/>
        <v>0</v>
      </c>
      <c r="AC8" s="32">
        <f t="shared" si="3"/>
        <v>0</v>
      </c>
      <c r="AD8" s="32">
        <f t="shared" si="3"/>
        <v>383.9587382567708</v>
      </c>
      <c r="AE8" s="32">
        <f t="shared" si="3"/>
        <v>651.48648137474129</v>
      </c>
      <c r="AF8" s="32">
        <f t="shared" si="3"/>
        <v>90.437943505175994</v>
      </c>
      <c r="AG8" s="230">
        <v>50</v>
      </c>
      <c r="AH8" s="230"/>
      <c r="AI8" s="230"/>
      <c r="AJ8" s="230"/>
      <c r="AK8" s="230"/>
      <c r="AL8" s="230">
        <v>65</v>
      </c>
    </row>
    <row r="9" spans="1:38" ht="16" thickTop="1" x14ac:dyDescent="0.2">
      <c r="A9" s="20" t="s">
        <v>400</v>
      </c>
      <c r="B9" s="153" t="s">
        <v>419</v>
      </c>
      <c r="C9" s="5">
        <f>'Pastel Fresas Con Crema'!D12</f>
        <v>0</v>
      </c>
      <c r="D9" s="5">
        <v>185</v>
      </c>
      <c r="E9" s="5">
        <v>335</v>
      </c>
      <c r="F9" s="5">
        <v>490</v>
      </c>
      <c r="G9" s="5">
        <v>700</v>
      </c>
      <c r="H9" s="5">
        <v>70</v>
      </c>
      <c r="I9" s="219">
        <f t="shared" si="4"/>
        <v>0</v>
      </c>
      <c r="J9" s="219">
        <f t="shared" si="0"/>
        <v>411.11111111111109</v>
      </c>
      <c r="K9" s="219">
        <f t="shared" si="0"/>
        <v>744.44444444444446</v>
      </c>
      <c r="L9" s="219">
        <f>_xlfn.IFNA(F9/$J$1,0)</f>
        <v>1088.8888888888889</v>
      </c>
      <c r="M9" s="219">
        <f>_xlfn.IFNA(G9/$J$1,0)</f>
        <v>1555.5555555555554</v>
      </c>
      <c r="N9" s="219">
        <f t="shared" si="0"/>
        <v>155.55555555555554</v>
      </c>
      <c r="O9" s="32">
        <f t="shared" si="5"/>
        <v>0</v>
      </c>
      <c r="P9" s="32">
        <f t="shared" si="1"/>
        <v>462.5</v>
      </c>
      <c r="Q9" s="32">
        <f t="shared" si="1"/>
        <v>837.5</v>
      </c>
      <c r="R9" s="32">
        <f t="shared" si="1"/>
        <v>1225</v>
      </c>
      <c r="S9" s="32">
        <f t="shared" si="1"/>
        <v>1750</v>
      </c>
      <c r="T9" s="32">
        <f t="shared" si="1"/>
        <v>175</v>
      </c>
      <c r="U9" s="32">
        <f t="shared" si="6"/>
        <v>0</v>
      </c>
      <c r="V9" s="32">
        <f t="shared" si="2"/>
        <v>528.57142857142856</v>
      </c>
      <c r="W9" s="32">
        <f t="shared" si="2"/>
        <v>957.14285714285722</v>
      </c>
      <c r="X9" s="32">
        <f t="shared" si="2"/>
        <v>1400</v>
      </c>
      <c r="Y9" s="32">
        <f t="shared" si="2"/>
        <v>2000.0000000000002</v>
      </c>
      <c r="Z9" s="32">
        <f t="shared" si="2"/>
        <v>200</v>
      </c>
      <c r="AA9" s="32">
        <f t="shared" si="7"/>
        <v>0</v>
      </c>
      <c r="AB9" s="32">
        <f t="shared" si="3"/>
        <v>616.66666666666674</v>
      </c>
      <c r="AC9" s="32">
        <f t="shared" si="3"/>
        <v>1116.6666666666667</v>
      </c>
      <c r="AD9" s="32">
        <f t="shared" si="3"/>
        <v>1633.3333333333335</v>
      </c>
      <c r="AE9" s="32">
        <f t="shared" si="3"/>
        <v>2333.3333333333335</v>
      </c>
      <c r="AF9" s="32">
        <f t="shared" si="3"/>
        <v>233.33333333333334</v>
      </c>
      <c r="AG9" s="231"/>
      <c r="AH9" s="231">
        <v>185</v>
      </c>
      <c r="AI9" s="231">
        <v>335</v>
      </c>
      <c r="AJ9" s="238">
        <v>490</v>
      </c>
      <c r="AK9" s="231">
        <v>700</v>
      </c>
      <c r="AL9" s="231">
        <v>70</v>
      </c>
    </row>
    <row r="10" spans="1:38" x14ac:dyDescent="0.2">
      <c r="B10" s="153" t="s">
        <v>420</v>
      </c>
      <c r="C10" s="5">
        <v>0</v>
      </c>
      <c r="D10" s="5">
        <v>185</v>
      </c>
      <c r="E10" s="5">
        <v>340</v>
      </c>
      <c r="F10" s="5">
        <v>490</v>
      </c>
      <c r="G10" s="5">
        <v>700</v>
      </c>
      <c r="H10" s="5">
        <v>70</v>
      </c>
      <c r="I10" s="219">
        <f t="shared" si="4"/>
        <v>0</v>
      </c>
      <c r="J10" s="219">
        <f t="shared" si="0"/>
        <v>411.11111111111109</v>
      </c>
      <c r="K10" s="219">
        <f t="shared" si="0"/>
        <v>755.55555555555554</v>
      </c>
      <c r="L10" s="219">
        <f t="shared" si="0"/>
        <v>1088.8888888888889</v>
      </c>
      <c r="M10" s="219">
        <f t="shared" si="0"/>
        <v>1555.5555555555554</v>
      </c>
      <c r="N10" s="219">
        <f t="shared" si="0"/>
        <v>155.55555555555554</v>
      </c>
      <c r="O10" s="32">
        <f t="shared" si="5"/>
        <v>0</v>
      </c>
      <c r="P10" s="32">
        <f t="shared" si="1"/>
        <v>462.5</v>
      </c>
      <c r="Q10" s="32">
        <f t="shared" si="1"/>
        <v>850</v>
      </c>
      <c r="R10" s="32">
        <f t="shared" si="1"/>
        <v>1225</v>
      </c>
      <c r="S10" s="32">
        <f t="shared" si="1"/>
        <v>1750</v>
      </c>
      <c r="T10" s="32">
        <f t="shared" si="1"/>
        <v>175</v>
      </c>
      <c r="U10" s="32">
        <f t="shared" si="6"/>
        <v>0</v>
      </c>
      <c r="V10" s="32">
        <f t="shared" si="2"/>
        <v>528.57142857142856</v>
      </c>
      <c r="W10" s="32">
        <f t="shared" si="2"/>
        <v>971.42857142857144</v>
      </c>
      <c r="X10" s="32">
        <f t="shared" si="2"/>
        <v>1400</v>
      </c>
      <c r="Y10" s="32">
        <f t="shared" si="2"/>
        <v>2000.0000000000002</v>
      </c>
      <c r="Z10" s="32">
        <f t="shared" si="2"/>
        <v>200</v>
      </c>
      <c r="AA10" s="32">
        <f t="shared" si="7"/>
        <v>0</v>
      </c>
      <c r="AB10" s="32">
        <f t="shared" si="3"/>
        <v>616.66666666666674</v>
      </c>
      <c r="AC10" s="32">
        <f t="shared" si="3"/>
        <v>1133.3333333333335</v>
      </c>
      <c r="AD10" s="32">
        <f t="shared" si="3"/>
        <v>1633.3333333333335</v>
      </c>
      <c r="AE10" s="32">
        <f t="shared" si="3"/>
        <v>2333.3333333333335</v>
      </c>
      <c r="AF10" s="32">
        <f t="shared" si="3"/>
        <v>233.33333333333334</v>
      </c>
      <c r="AG10" s="229"/>
      <c r="AH10" s="231">
        <v>185</v>
      </c>
      <c r="AI10" s="229">
        <v>340</v>
      </c>
      <c r="AJ10" s="229">
        <v>490</v>
      </c>
      <c r="AK10" s="229">
        <v>700</v>
      </c>
      <c r="AL10" s="231">
        <v>70</v>
      </c>
    </row>
    <row r="11" spans="1:38" x14ac:dyDescent="0.2">
      <c r="B11" s="153" t="s">
        <v>180</v>
      </c>
      <c r="C11" s="5">
        <v>0</v>
      </c>
      <c r="D11" s="5">
        <v>0</v>
      </c>
      <c r="E11" s="5">
        <v>330</v>
      </c>
      <c r="F11" s="5">
        <v>440</v>
      </c>
      <c r="G11" s="5">
        <v>700</v>
      </c>
      <c r="H11" s="5">
        <v>70</v>
      </c>
      <c r="I11" s="219">
        <f t="shared" si="4"/>
        <v>0</v>
      </c>
      <c r="J11" s="219">
        <f t="shared" si="0"/>
        <v>0</v>
      </c>
      <c r="K11" s="219">
        <f t="shared" si="0"/>
        <v>733.33333333333337</v>
      </c>
      <c r="L11" s="219">
        <f t="shared" si="0"/>
        <v>977.77777777777771</v>
      </c>
      <c r="M11" s="219">
        <f t="shared" si="0"/>
        <v>1555.5555555555554</v>
      </c>
      <c r="N11" s="219">
        <f t="shared" si="0"/>
        <v>155.55555555555554</v>
      </c>
      <c r="O11" s="32">
        <f t="shared" si="5"/>
        <v>0</v>
      </c>
      <c r="P11" s="32">
        <f t="shared" si="1"/>
        <v>0</v>
      </c>
      <c r="Q11" s="32">
        <f t="shared" si="1"/>
        <v>825</v>
      </c>
      <c r="R11" s="32">
        <f t="shared" si="1"/>
        <v>1100</v>
      </c>
      <c r="S11" s="32">
        <f t="shared" si="1"/>
        <v>1750</v>
      </c>
      <c r="T11" s="32">
        <f t="shared" si="1"/>
        <v>175</v>
      </c>
      <c r="U11" s="32">
        <f t="shared" si="6"/>
        <v>0</v>
      </c>
      <c r="V11" s="32">
        <f t="shared" si="2"/>
        <v>0</v>
      </c>
      <c r="W11" s="32">
        <f t="shared" si="2"/>
        <v>942.85714285714289</v>
      </c>
      <c r="X11" s="32">
        <f t="shared" si="2"/>
        <v>1257.1428571428571</v>
      </c>
      <c r="Y11" s="32">
        <f t="shared" si="2"/>
        <v>2000.0000000000002</v>
      </c>
      <c r="Z11" s="32">
        <f t="shared" si="2"/>
        <v>200</v>
      </c>
      <c r="AA11" s="32">
        <f t="shared" si="7"/>
        <v>0</v>
      </c>
      <c r="AB11" s="32">
        <f t="shared" si="3"/>
        <v>0</v>
      </c>
      <c r="AC11" s="32">
        <f t="shared" si="3"/>
        <v>1100</v>
      </c>
      <c r="AD11" s="32">
        <f t="shared" si="3"/>
        <v>1466.6666666666667</v>
      </c>
      <c r="AE11" s="32">
        <f t="shared" si="3"/>
        <v>2333.3333333333335</v>
      </c>
      <c r="AF11" s="32">
        <f t="shared" si="3"/>
        <v>233.33333333333334</v>
      </c>
      <c r="AG11" s="229"/>
      <c r="AH11" s="231"/>
      <c r="AI11" s="229">
        <v>330</v>
      </c>
      <c r="AJ11" s="229">
        <v>440</v>
      </c>
      <c r="AK11" s="229">
        <v>700</v>
      </c>
      <c r="AL11" s="231">
        <v>70</v>
      </c>
    </row>
    <row r="12" spans="1:38" x14ac:dyDescent="0.2">
      <c r="B12" s="153" t="s">
        <v>422</v>
      </c>
      <c r="C12" s="5">
        <v>0</v>
      </c>
      <c r="D12" s="5">
        <v>185</v>
      </c>
      <c r="E12" s="5">
        <v>360</v>
      </c>
      <c r="F12" s="5">
        <v>490</v>
      </c>
      <c r="G12" s="5">
        <v>700</v>
      </c>
      <c r="H12" s="5">
        <v>70</v>
      </c>
      <c r="I12" s="219">
        <f t="shared" si="4"/>
        <v>0</v>
      </c>
      <c r="J12" s="219">
        <f t="shared" si="0"/>
        <v>411.11111111111109</v>
      </c>
      <c r="K12" s="219">
        <f t="shared" si="0"/>
        <v>800</v>
      </c>
      <c r="L12" s="219">
        <f t="shared" si="0"/>
        <v>1088.8888888888889</v>
      </c>
      <c r="M12" s="219">
        <f t="shared" si="0"/>
        <v>1555.5555555555554</v>
      </c>
      <c r="N12" s="219">
        <f t="shared" si="0"/>
        <v>155.55555555555554</v>
      </c>
      <c r="O12" s="32">
        <f t="shared" si="5"/>
        <v>0</v>
      </c>
      <c r="P12" s="32">
        <f t="shared" si="1"/>
        <v>462.5</v>
      </c>
      <c r="Q12" s="32">
        <f t="shared" si="1"/>
        <v>900</v>
      </c>
      <c r="R12" s="32">
        <f t="shared" si="1"/>
        <v>1225</v>
      </c>
      <c r="S12" s="32">
        <f t="shared" si="1"/>
        <v>1750</v>
      </c>
      <c r="T12" s="32">
        <f t="shared" si="1"/>
        <v>175</v>
      </c>
      <c r="U12" s="32">
        <f t="shared" si="6"/>
        <v>0</v>
      </c>
      <c r="V12" s="32">
        <f t="shared" si="2"/>
        <v>528.57142857142856</v>
      </c>
      <c r="W12" s="32">
        <f t="shared" si="2"/>
        <v>1028.5714285714287</v>
      </c>
      <c r="X12" s="32">
        <f t="shared" si="2"/>
        <v>1400</v>
      </c>
      <c r="Y12" s="32">
        <f t="shared" si="2"/>
        <v>2000.0000000000002</v>
      </c>
      <c r="Z12" s="32">
        <f t="shared" si="2"/>
        <v>200</v>
      </c>
      <c r="AA12" s="32">
        <f t="shared" si="7"/>
        <v>0</v>
      </c>
      <c r="AB12" s="32">
        <f t="shared" si="3"/>
        <v>616.66666666666674</v>
      </c>
      <c r="AC12" s="32">
        <f t="shared" si="3"/>
        <v>1200</v>
      </c>
      <c r="AD12" s="32">
        <f t="shared" si="3"/>
        <v>1633.3333333333335</v>
      </c>
      <c r="AE12" s="32">
        <f t="shared" si="3"/>
        <v>2333.3333333333335</v>
      </c>
      <c r="AF12" s="32">
        <f t="shared" si="3"/>
        <v>233.33333333333334</v>
      </c>
      <c r="AG12" s="229"/>
      <c r="AH12" s="231">
        <v>185</v>
      </c>
      <c r="AI12" s="229">
        <v>360</v>
      </c>
      <c r="AJ12" s="229">
        <v>490</v>
      </c>
      <c r="AK12" s="229">
        <v>720</v>
      </c>
      <c r="AL12" s="231">
        <v>70</v>
      </c>
    </row>
    <row r="13" spans="1:38" x14ac:dyDescent="0.2">
      <c r="B13" s="153" t="s">
        <v>423</v>
      </c>
      <c r="C13" s="5">
        <v>0</v>
      </c>
      <c r="D13" s="5">
        <v>0</v>
      </c>
      <c r="E13" s="5">
        <v>400</v>
      </c>
      <c r="F13" s="5">
        <v>500</v>
      </c>
      <c r="G13" s="5">
        <v>750</v>
      </c>
      <c r="H13" s="5">
        <v>70</v>
      </c>
      <c r="I13" s="219">
        <f t="shared" si="4"/>
        <v>0</v>
      </c>
      <c r="J13" s="219">
        <f t="shared" si="0"/>
        <v>0</v>
      </c>
      <c r="K13" s="219">
        <f t="shared" si="0"/>
        <v>888.88888888888891</v>
      </c>
      <c r="L13" s="219">
        <f t="shared" si="0"/>
        <v>1111.1111111111111</v>
      </c>
      <c r="M13" s="219">
        <f t="shared" si="0"/>
        <v>1666.6666666666665</v>
      </c>
      <c r="N13" s="219">
        <f t="shared" si="0"/>
        <v>155.55555555555554</v>
      </c>
      <c r="O13" s="32">
        <f t="shared" si="5"/>
        <v>0</v>
      </c>
      <c r="P13" s="32">
        <f t="shared" si="1"/>
        <v>0</v>
      </c>
      <c r="Q13" s="32">
        <f t="shared" si="1"/>
        <v>1000</v>
      </c>
      <c r="R13" s="32">
        <f t="shared" si="1"/>
        <v>1250</v>
      </c>
      <c r="S13" s="32">
        <f t="shared" si="1"/>
        <v>1875</v>
      </c>
      <c r="T13" s="32">
        <f t="shared" si="1"/>
        <v>175</v>
      </c>
      <c r="U13" s="32">
        <f t="shared" si="6"/>
        <v>0</v>
      </c>
      <c r="V13" s="32">
        <f t="shared" si="2"/>
        <v>0</v>
      </c>
      <c r="W13" s="32">
        <f t="shared" si="2"/>
        <v>1142.8571428571429</v>
      </c>
      <c r="X13" s="32">
        <f t="shared" si="2"/>
        <v>1428.5714285714287</v>
      </c>
      <c r="Y13" s="32">
        <f t="shared" si="2"/>
        <v>2142.8571428571431</v>
      </c>
      <c r="Z13" s="32">
        <f t="shared" si="2"/>
        <v>200</v>
      </c>
      <c r="AA13" s="32">
        <f t="shared" si="7"/>
        <v>0</v>
      </c>
      <c r="AB13" s="32">
        <f t="shared" si="3"/>
        <v>0</v>
      </c>
      <c r="AC13" s="32">
        <f t="shared" si="3"/>
        <v>1333.3333333333335</v>
      </c>
      <c r="AD13" s="32">
        <f t="shared" si="3"/>
        <v>1666.6666666666667</v>
      </c>
      <c r="AE13" s="32">
        <f t="shared" si="3"/>
        <v>2500</v>
      </c>
      <c r="AF13" s="32">
        <f t="shared" si="3"/>
        <v>233.33333333333334</v>
      </c>
      <c r="AG13" s="229"/>
      <c r="AH13" s="231"/>
      <c r="AI13" s="229">
        <v>400</v>
      </c>
      <c r="AJ13" s="229">
        <v>500</v>
      </c>
      <c r="AK13" s="229">
        <v>750</v>
      </c>
      <c r="AL13" s="231">
        <v>70</v>
      </c>
    </row>
    <row r="14" spans="1:38" x14ac:dyDescent="0.2">
      <c r="B14" s="153" t="s">
        <v>188</v>
      </c>
      <c r="C14" s="5">
        <v>0</v>
      </c>
      <c r="D14" s="5">
        <f>'Pastel Vainilla'!E12</f>
        <v>0</v>
      </c>
      <c r="E14" s="5">
        <v>340</v>
      </c>
      <c r="F14" s="5">
        <v>450</v>
      </c>
      <c r="G14" s="5">
        <v>710</v>
      </c>
      <c r="H14" s="5">
        <v>70</v>
      </c>
      <c r="I14" s="219">
        <f t="shared" si="4"/>
        <v>0</v>
      </c>
      <c r="J14" s="219">
        <f t="shared" si="0"/>
        <v>0</v>
      </c>
      <c r="K14" s="219">
        <f t="shared" si="0"/>
        <v>755.55555555555554</v>
      </c>
      <c r="L14" s="219">
        <f t="shared" si="0"/>
        <v>1000</v>
      </c>
      <c r="M14" s="219">
        <f t="shared" si="0"/>
        <v>1577.7777777777778</v>
      </c>
      <c r="N14" s="219">
        <f t="shared" si="0"/>
        <v>155.55555555555554</v>
      </c>
      <c r="O14" s="32">
        <f t="shared" si="5"/>
        <v>0</v>
      </c>
      <c r="P14" s="32">
        <f t="shared" si="1"/>
        <v>0</v>
      </c>
      <c r="Q14" s="32">
        <f t="shared" si="1"/>
        <v>850</v>
      </c>
      <c r="R14" s="32">
        <f t="shared" si="1"/>
        <v>1125</v>
      </c>
      <c r="S14" s="32">
        <f t="shared" si="1"/>
        <v>1775</v>
      </c>
      <c r="T14" s="32">
        <f t="shared" si="1"/>
        <v>175</v>
      </c>
      <c r="U14" s="32">
        <f t="shared" si="6"/>
        <v>0</v>
      </c>
      <c r="V14" s="32">
        <f t="shared" si="2"/>
        <v>0</v>
      </c>
      <c r="W14" s="32">
        <f t="shared" si="2"/>
        <v>971.42857142857144</v>
      </c>
      <c r="X14" s="32">
        <f t="shared" si="2"/>
        <v>1285.7142857142858</v>
      </c>
      <c r="Y14" s="32">
        <f t="shared" si="2"/>
        <v>2028.5714285714287</v>
      </c>
      <c r="Z14" s="32">
        <f t="shared" si="2"/>
        <v>200</v>
      </c>
      <c r="AA14" s="32">
        <f t="shared" si="7"/>
        <v>0</v>
      </c>
      <c r="AB14" s="32">
        <f t="shared" si="3"/>
        <v>0</v>
      </c>
      <c r="AC14" s="32">
        <f t="shared" si="3"/>
        <v>1133.3333333333335</v>
      </c>
      <c r="AD14" s="32">
        <f t="shared" si="3"/>
        <v>1500</v>
      </c>
      <c r="AE14" s="32">
        <f t="shared" si="3"/>
        <v>2366.666666666667</v>
      </c>
      <c r="AF14" s="32">
        <f t="shared" si="3"/>
        <v>233.33333333333334</v>
      </c>
      <c r="AG14" s="229"/>
      <c r="AH14" s="231"/>
      <c r="AI14" s="229">
        <v>340</v>
      </c>
      <c r="AJ14" s="229">
        <v>450</v>
      </c>
      <c r="AK14" s="229">
        <v>710</v>
      </c>
      <c r="AL14" s="231">
        <v>70</v>
      </c>
    </row>
    <row r="15" spans="1:38" x14ac:dyDescent="0.2">
      <c r="B15" s="153" t="s">
        <v>403</v>
      </c>
      <c r="C15" s="5">
        <v>0</v>
      </c>
      <c r="D15" s="5">
        <v>0</v>
      </c>
      <c r="E15" s="5">
        <v>0</v>
      </c>
      <c r="F15" s="5">
        <v>435</v>
      </c>
      <c r="G15" s="5">
        <v>0</v>
      </c>
      <c r="H15" s="5">
        <v>70</v>
      </c>
      <c r="I15" s="219">
        <f t="shared" si="4"/>
        <v>0</v>
      </c>
      <c r="J15" s="219">
        <f t="shared" si="0"/>
        <v>0</v>
      </c>
      <c r="K15" s="219">
        <f t="shared" si="0"/>
        <v>0</v>
      </c>
      <c r="L15" s="219">
        <f t="shared" si="0"/>
        <v>966.66666666666663</v>
      </c>
      <c r="M15" s="219">
        <f t="shared" si="0"/>
        <v>0</v>
      </c>
      <c r="N15" s="219">
        <f t="shared" si="0"/>
        <v>155.55555555555554</v>
      </c>
      <c r="O15" s="32">
        <f t="shared" si="5"/>
        <v>0</v>
      </c>
      <c r="P15" s="32">
        <f t="shared" si="1"/>
        <v>0</v>
      </c>
      <c r="Q15" s="32">
        <f t="shared" si="1"/>
        <v>0</v>
      </c>
      <c r="R15" s="32">
        <f t="shared" si="1"/>
        <v>1087.5</v>
      </c>
      <c r="S15" s="32">
        <f t="shared" si="1"/>
        <v>0</v>
      </c>
      <c r="T15" s="32">
        <f t="shared" si="1"/>
        <v>175</v>
      </c>
      <c r="U15" s="32">
        <f t="shared" si="6"/>
        <v>0</v>
      </c>
      <c r="V15" s="32">
        <f t="shared" si="2"/>
        <v>0</v>
      </c>
      <c r="W15" s="32">
        <f t="shared" si="2"/>
        <v>0</v>
      </c>
      <c r="X15" s="32">
        <f t="shared" si="2"/>
        <v>1242.8571428571429</v>
      </c>
      <c r="Y15" s="32">
        <f t="shared" si="2"/>
        <v>0</v>
      </c>
      <c r="Z15" s="32">
        <f t="shared" si="2"/>
        <v>200</v>
      </c>
      <c r="AA15" s="32">
        <f t="shared" si="7"/>
        <v>0</v>
      </c>
      <c r="AB15" s="32">
        <f t="shared" si="3"/>
        <v>0</v>
      </c>
      <c r="AC15" s="32">
        <f t="shared" si="3"/>
        <v>0</v>
      </c>
      <c r="AD15" s="32">
        <f t="shared" si="3"/>
        <v>1450</v>
      </c>
      <c r="AE15" s="32">
        <f t="shared" si="3"/>
        <v>0</v>
      </c>
      <c r="AF15" s="32">
        <f t="shared" si="3"/>
        <v>233.33333333333334</v>
      </c>
      <c r="AG15" s="229"/>
      <c r="AH15" s="231"/>
      <c r="AI15" s="229">
        <f ca="1">-AI15</f>
        <v>0</v>
      </c>
      <c r="AJ15" s="229">
        <v>435</v>
      </c>
      <c r="AK15" s="229">
        <f ca="1">-AK15</f>
        <v>0</v>
      </c>
      <c r="AL15" s="231">
        <v>75</v>
      </c>
    </row>
    <row r="16" spans="1:38" x14ac:dyDescent="0.2">
      <c r="B16" s="153"/>
      <c r="C16" s="5"/>
      <c r="D16" s="5"/>
      <c r="E16" s="5"/>
      <c r="F16" s="5"/>
      <c r="G16" s="5"/>
      <c r="H16" s="5"/>
      <c r="I16" s="219">
        <f t="shared" si="4"/>
        <v>0</v>
      </c>
      <c r="J16" s="219">
        <f t="shared" si="0"/>
        <v>0</v>
      </c>
      <c r="K16" s="219">
        <f t="shared" si="0"/>
        <v>0</v>
      </c>
      <c r="L16" s="219">
        <f t="shared" si="0"/>
        <v>0</v>
      </c>
      <c r="M16" s="219">
        <f t="shared" si="0"/>
        <v>0</v>
      </c>
      <c r="N16" s="219">
        <f t="shared" si="0"/>
        <v>0</v>
      </c>
      <c r="O16" s="32">
        <f t="shared" si="5"/>
        <v>0</v>
      </c>
      <c r="P16" s="32">
        <f t="shared" si="1"/>
        <v>0</v>
      </c>
      <c r="Q16" s="32">
        <f t="shared" si="1"/>
        <v>0</v>
      </c>
      <c r="R16" s="32">
        <f t="shared" si="1"/>
        <v>0</v>
      </c>
      <c r="S16" s="32">
        <f t="shared" si="1"/>
        <v>0</v>
      </c>
      <c r="T16" s="32">
        <f t="shared" si="1"/>
        <v>0</v>
      </c>
      <c r="U16" s="32">
        <f t="shared" si="6"/>
        <v>0</v>
      </c>
      <c r="V16" s="32">
        <f t="shared" si="2"/>
        <v>0</v>
      </c>
      <c r="W16" s="32">
        <f t="shared" si="2"/>
        <v>0</v>
      </c>
      <c r="X16" s="32">
        <f t="shared" si="2"/>
        <v>0</v>
      </c>
      <c r="Y16" s="32">
        <f t="shared" si="2"/>
        <v>0</v>
      </c>
      <c r="Z16" s="32">
        <f t="shared" si="2"/>
        <v>0</v>
      </c>
      <c r="AA16" s="32">
        <f t="shared" si="7"/>
        <v>0</v>
      </c>
      <c r="AB16" s="32">
        <f t="shared" si="3"/>
        <v>0</v>
      </c>
      <c r="AC16" s="32">
        <f t="shared" si="3"/>
        <v>0</v>
      </c>
      <c r="AD16" s="32">
        <f t="shared" si="3"/>
        <v>0</v>
      </c>
      <c r="AE16" s="32">
        <f t="shared" si="3"/>
        <v>0</v>
      </c>
      <c r="AF16" s="32">
        <f t="shared" si="3"/>
        <v>0</v>
      </c>
      <c r="AG16" s="229"/>
      <c r="AH16" s="231"/>
      <c r="AI16" s="229">
        <f ca="1">-AI16</f>
        <v>0</v>
      </c>
      <c r="AJ16" s="229">
        <v>480</v>
      </c>
      <c r="AK16" s="229">
        <f ca="1">-AK16</f>
        <v>0</v>
      </c>
      <c r="AL16" s="231">
        <v>80</v>
      </c>
    </row>
    <row r="17" spans="1:38" ht="16" thickBot="1" x14ac:dyDescent="0.25">
      <c r="A17" s="98"/>
      <c r="B17" s="154"/>
      <c r="C17" s="86"/>
      <c r="D17" s="100"/>
      <c r="E17" s="100"/>
      <c r="F17" s="100"/>
      <c r="G17" s="100"/>
      <c r="H17" s="100"/>
      <c r="I17" s="219">
        <f t="shared" si="4"/>
        <v>0</v>
      </c>
      <c r="J17" s="219">
        <f t="shared" si="4"/>
        <v>0</v>
      </c>
      <c r="K17" s="219">
        <f t="shared" si="4"/>
        <v>0</v>
      </c>
      <c r="L17" s="219">
        <f t="shared" si="4"/>
        <v>0</v>
      </c>
      <c r="M17" s="219">
        <f t="shared" si="4"/>
        <v>0</v>
      </c>
      <c r="N17" s="219">
        <f t="shared" si="4"/>
        <v>0</v>
      </c>
      <c r="O17" s="32">
        <f t="shared" si="5"/>
        <v>0</v>
      </c>
      <c r="P17" s="32">
        <f t="shared" si="5"/>
        <v>0</v>
      </c>
      <c r="Q17" s="32">
        <f t="shared" si="5"/>
        <v>0</v>
      </c>
      <c r="R17" s="32">
        <f t="shared" si="5"/>
        <v>0</v>
      </c>
      <c r="S17" s="32">
        <f t="shared" si="5"/>
        <v>0</v>
      </c>
      <c r="T17" s="32">
        <f t="shared" si="5"/>
        <v>0</v>
      </c>
      <c r="U17" s="32">
        <f t="shared" si="6"/>
        <v>0</v>
      </c>
      <c r="V17" s="32">
        <f t="shared" si="6"/>
        <v>0</v>
      </c>
      <c r="W17" s="32">
        <f t="shared" si="6"/>
        <v>0</v>
      </c>
      <c r="X17" s="32">
        <f t="shared" si="6"/>
        <v>0</v>
      </c>
      <c r="Y17" s="32">
        <f t="shared" si="6"/>
        <v>0</v>
      </c>
      <c r="Z17" s="32">
        <f t="shared" si="6"/>
        <v>0</v>
      </c>
      <c r="AA17" s="32">
        <f t="shared" si="7"/>
        <v>0</v>
      </c>
      <c r="AB17" s="32">
        <f t="shared" si="7"/>
        <v>0</v>
      </c>
      <c r="AC17" s="32">
        <f t="shared" si="7"/>
        <v>0</v>
      </c>
      <c r="AD17" s="32">
        <f t="shared" si="7"/>
        <v>0</v>
      </c>
      <c r="AE17" s="32">
        <f t="shared" si="7"/>
        <v>0</v>
      </c>
      <c r="AF17" s="32">
        <f t="shared" si="7"/>
        <v>0</v>
      </c>
      <c r="AG17" s="230">
        <v>55</v>
      </c>
      <c r="AH17" s="230"/>
      <c r="AI17" s="230"/>
      <c r="AJ17" s="230"/>
      <c r="AK17" s="230"/>
      <c r="AL17" s="230"/>
    </row>
    <row r="18" spans="1:38" ht="16" thickTop="1" x14ac:dyDescent="0.2">
      <c r="A18" s="20" t="s">
        <v>426</v>
      </c>
      <c r="B18" s="153" t="s">
        <v>427</v>
      </c>
      <c r="D18" s="13">
        <v>0</v>
      </c>
      <c r="E18" s="13">
        <v>90</v>
      </c>
      <c r="F18" s="13">
        <v>105</v>
      </c>
      <c r="G18" s="13">
        <v>115</v>
      </c>
      <c r="I18" s="219">
        <f t="shared" si="4"/>
        <v>0</v>
      </c>
      <c r="J18" s="219">
        <f t="shared" si="4"/>
        <v>0</v>
      </c>
      <c r="K18" s="219">
        <f t="shared" si="4"/>
        <v>200</v>
      </c>
      <c r="L18" s="219">
        <f t="shared" si="4"/>
        <v>233.33333333333331</v>
      </c>
      <c r="M18" s="219">
        <f>_xlfn.IFNA(G18/$J$1,0)</f>
        <v>255.55555555555554</v>
      </c>
      <c r="N18" s="219">
        <f t="shared" si="4"/>
        <v>0</v>
      </c>
      <c r="O18" s="32">
        <f t="shared" si="5"/>
        <v>0</v>
      </c>
      <c r="P18" s="32">
        <f t="shared" si="5"/>
        <v>0</v>
      </c>
      <c r="Q18" s="32">
        <f t="shared" si="5"/>
        <v>225</v>
      </c>
      <c r="R18" s="32">
        <f t="shared" si="5"/>
        <v>262.5</v>
      </c>
      <c r="S18" s="32">
        <f t="shared" si="5"/>
        <v>287.5</v>
      </c>
      <c r="T18" s="32">
        <f t="shared" si="5"/>
        <v>0</v>
      </c>
      <c r="U18" s="32">
        <f t="shared" si="6"/>
        <v>0</v>
      </c>
      <c r="V18" s="32">
        <f t="shared" si="6"/>
        <v>0</v>
      </c>
      <c r="W18" s="32">
        <f t="shared" si="6"/>
        <v>257.14285714285717</v>
      </c>
      <c r="X18" s="32">
        <f t="shared" si="6"/>
        <v>300</v>
      </c>
      <c r="Y18" s="32">
        <f t="shared" si="6"/>
        <v>328.57142857142861</v>
      </c>
      <c r="Z18" s="32">
        <f t="shared" si="6"/>
        <v>0</v>
      </c>
      <c r="AA18" s="32">
        <f t="shared" si="7"/>
        <v>0</v>
      </c>
      <c r="AB18" s="32">
        <f t="shared" si="7"/>
        <v>0</v>
      </c>
      <c r="AC18" s="32">
        <f t="shared" si="7"/>
        <v>300</v>
      </c>
      <c r="AD18" s="32">
        <f t="shared" si="7"/>
        <v>350</v>
      </c>
      <c r="AE18" s="32">
        <f t="shared" si="7"/>
        <v>383.33333333333337</v>
      </c>
      <c r="AF18" s="32">
        <f t="shared" si="7"/>
        <v>0</v>
      </c>
      <c r="AG18" s="231"/>
      <c r="AH18" s="238">
        <v>60</v>
      </c>
      <c r="AI18" s="231">
        <v>90</v>
      </c>
      <c r="AJ18" s="231">
        <v>105</v>
      </c>
      <c r="AK18" s="231">
        <v>115</v>
      </c>
      <c r="AL18" s="231"/>
    </row>
    <row r="19" spans="1:38" x14ac:dyDescent="0.2">
      <c r="B19" s="153" t="s">
        <v>428</v>
      </c>
      <c r="D19" s="13">
        <v>0</v>
      </c>
      <c r="G19" s="13">
        <v>0</v>
      </c>
      <c r="I19" s="219">
        <f t="shared" si="4"/>
        <v>0</v>
      </c>
      <c r="J19" s="219">
        <f t="shared" si="4"/>
        <v>0</v>
      </c>
      <c r="K19" s="219">
        <f t="shared" si="4"/>
        <v>0</v>
      </c>
      <c r="L19" s="219">
        <f t="shared" si="4"/>
        <v>0</v>
      </c>
      <c r="M19" s="219">
        <f t="shared" si="4"/>
        <v>0</v>
      </c>
      <c r="N19" s="219">
        <f t="shared" si="4"/>
        <v>0</v>
      </c>
      <c r="O19" s="32">
        <f t="shared" si="5"/>
        <v>0</v>
      </c>
      <c r="P19" s="32">
        <f t="shared" si="5"/>
        <v>0</v>
      </c>
      <c r="Q19" s="32">
        <f t="shared" si="5"/>
        <v>0</v>
      </c>
      <c r="R19" s="32">
        <f t="shared" si="5"/>
        <v>0</v>
      </c>
      <c r="S19" s="32">
        <f t="shared" si="5"/>
        <v>0</v>
      </c>
      <c r="T19" s="32">
        <f t="shared" si="5"/>
        <v>0</v>
      </c>
      <c r="U19" s="32">
        <f t="shared" si="6"/>
        <v>0</v>
      </c>
      <c r="V19" s="32">
        <f t="shared" si="6"/>
        <v>0</v>
      </c>
      <c r="W19" s="32">
        <f t="shared" si="6"/>
        <v>0</v>
      </c>
      <c r="X19" s="32">
        <f t="shared" si="6"/>
        <v>0</v>
      </c>
      <c r="Y19" s="32">
        <f t="shared" si="6"/>
        <v>0</v>
      </c>
      <c r="Z19" s="32">
        <f t="shared" si="6"/>
        <v>0</v>
      </c>
      <c r="AA19" s="32">
        <f t="shared" si="7"/>
        <v>0</v>
      </c>
      <c r="AB19" s="32">
        <f t="shared" si="7"/>
        <v>0</v>
      </c>
      <c r="AC19" s="32">
        <f t="shared" si="7"/>
        <v>0</v>
      </c>
      <c r="AD19" s="32">
        <f t="shared" si="7"/>
        <v>0</v>
      </c>
      <c r="AE19" s="32">
        <f t="shared" si="7"/>
        <v>0</v>
      </c>
      <c r="AF19" s="32">
        <f t="shared" si="7"/>
        <v>0</v>
      </c>
      <c r="AG19" s="229"/>
      <c r="AH19" s="229"/>
      <c r="AI19" s="229"/>
      <c r="AJ19" s="229"/>
      <c r="AK19" s="229"/>
      <c r="AL19" s="229"/>
    </row>
    <row r="20" spans="1:38" ht="16" thickBot="1" x14ac:dyDescent="0.25">
      <c r="A20" s="98"/>
      <c r="B20" s="154" t="s">
        <v>429</v>
      </c>
      <c r="C20" s="98"/>
      <c r="D20" s="86">
        <v>0</v>
      </c>
      <c r="E20" s="98"/>
      <c r="F20" s="98"/>
      <c r="G20" s="86">
        <v>0</v>
      </c>
      <c r="H20" s="98"/>
      <c r="I20" s="219">
        <f t="shared" si="4"/>
        <v>0</v>
      </c>
      <c r="J20" s="219">
        <f t="shared" si="4"/>
        <v>0</v>
      </c>
      <c r="K20" s="219">
        <f t="shared" si="4"/>
        <v>0</v>
      </c>
      <c r="L20" s="219">
        <f t="shared" si="4"/>
        <v>0</v>
      </c>
      <c r="M20" s="219">
        <f t="shared" si="4"/>
        <v>0</v>
      </c>
      <c r="N20" s="219">
        <f t="shared" si="4"/>
        <v>0</v>
      </c>
      <c r="O20" s="32">
        <f t="shared" si="5"/>
        <v>0</v>
      </c>
      <c r="P20" s="32">
        <f t="shared" si="5"/>
        <v>0</v>
      </c>
      <c r="Q20" s="32">
        <f t="shared" si="5"/>
        <v>0</v>
      </c>
      <c r="R20" s="32">
        <f t="shared" si="5"/>
        <v>0</v>
      </c>
      <c r="S20" s="32">
        <f t="shared" si="5"/>
        <v>0</v>
      </c>
      <c r="T20" s="32">
        <f t="shared" si="5"/>
        <v>0</v>
      </c>
      <c r="U20" s="32">
        <f t="shared" si="6"/>
        <v>0</v>
      </c>
      <c r="V20" s="32">
        <f t="shared" si="6"/>
        <v>0</v>
      </c>
      <c r="W20" s="32">
        <f t="shared" si="6"/>
        <v>0</v>
      </c>
      <c r="X20" s="32">
        <f t="shared" si="6"/>
        <v>0</v>
      </c>
      <c r="Y20" s="32">
        <f t="shared" si="6"/>
        <v>0</v>
      </c>
      <c r="Z20" s="32">
        <f t="shared" si="6"/>
        <v>0</v>
      </c>
      <c r="AA20" s="32">
        <f t="shared" si="7"/>
        <v>0</v>
      </c>
      <c r="AB20" s="32">
        <f t="shared" si="7"/>
        <v>0</v>
      </c>
      <c r="AC20" s="32">
        <f t="shared" si="7"/>
        <v>0</v>
      </c>
      <c r="AD20" s="32">
        <f t="shared" si="7"/>
        <v>0</v>
      </c>
      <c r="AE20" s="32">
        <f t="shared" si="7"/>
        <v>0</v>
      </c>
      <c r="AF20" s="32">
        <f t="shared" si="7"/>
        <v>0</v>
      </c>
      <c r="AG20" s="230"/>
      <c r="AH20" s="230"/>
      <c r="AI20" s="230"/>
      <c r="AJ20" s="230"/>
      <c r="AK20" s="230"/>
      <c r="AL20" s="230"/>
    </row>
    <row r="21" spans="1:38" ht="16" thickTop="1" x14ac:dyDescent="0.2">
      <c r="A21" s="20" t="s">
        <v>374</v>
      </c>
      <c r="B21" s="153" t="s">
        <v>421</v>
      </c>
      <c r="C21" s="5">
        <v>36</v>
      </c>
      <c r="D21" s="5">
        <f>'Pastel Fresas Con Crema'!E24</f>
        <v>0</v>
      </c>
      <c r="E21" s="5">
        <f>'Pastel Fresas Con Crema'!F24</f>
        <v>0</v>
      </c>
      <c r="F21" s="5">
        <f>'Pastel Fresas Con Crema'!G24</f>
        <v>0</v>
      </c>
      <c r="G21" s="5">
        <f>'Pastel Fresas Con Crema'!H24</f>
        <v>0</v>
      </c>
      <c r="H21" s="5">
        <f>'Pastel Fresas Con Crema'!C24</f>
        <v>0</v>
      </c>
      <c r="I21" s="219">
        <f>_xlfn.IFNA(C21/$J$1,0)</f>
        <v>80</v>
      </c>
      <c r="J21" s="219">
        <f t="shared" si="4"/>
        <v>0</v>
      </c>
      <c r="K21" s="219">
        <f t="shared" si="4"/>
        <v>0</v>
      </c>
      <c r="L21" s="219">
        <f t="shared" si="4"/>
        <v>0</v>
      </c>
      <c r="M21" s="219">
        <f t="shared" si="4"/>
        <v>0</v>
      </c>
      <c r="N21" s="219">
        <f t="shared" si="4"/>
        <v>0</v>
      </c>
      <c r="O21" s="32">
        <f t="shared" si="5"/>
        <v>90</v>
      </c>
      <c r="P21" s="32">
        <f t="shared" si="5"/>
        <v>0</v>
      </c>
      <c r="Q21" s="32">
        <f t="shared" si="5"/>
        <v>0</v>
      </c>
      <c r="R21" s="32">
        <f t="shared" si="5"/>
        <v>0</v>
      </c>
      <c r="S21" s="32">
        <f t="shared" si="5"/>
        <v>0</v>
      </c>
      <c r="T21" s="32">
        <f t="shared" si="5"/>
        <v>0</v>
      </c>
      <c r="U21" s="32">
        <f t="shared" si="6"/>
        <v>102.85714285714286</v>
      </c>
      <c r="V21" s="32">
        <f t="shared" si="6"/>
        <v>0</v>
      </c>
      <c r="W21" s="32">
        <f t="shared" si="6"/>
        <v>0</v>
      </c>
      <c r="X21" s="32">
        <f t="shared" si="6"/>
        <v>0</v>
      </c>
      <c r="Y21" s="32">
        <f t="shared" si="6"/>
        <v>0</v>
      </c>
      <c r="Z21" s="32">
        <f t="shared" si="6"/>
        <v>0</v>
      </c>
      <c r="AA21" s="32">
        <f t="shared" si="7"/>
        <v>120</v>
      </c>
      <c r="AB21" s="32">
        <f t="shared" si="7"/>
        <v>0</v>
      </c>
      <c r="AC21" s="32">
        <f t="shared" si="7"/>
        <v>0</v>
      </c>
      <c r="AD21" s="32">
        <f t="shared" si="7"/>
        <v>0</v>
      </c>
      <c r="AE21" s="32">
        <f t="shared" si="7"/>
        <v>0</v>
      </c>
      <c r="AF21" s="32">
        <f t="shared" si="7"/>
        <v>0</v>
      </c>
      <c r="AG21" s="231">
        <v>36</v>
      </c>
      <c r="AH21" s="231"/>
      <c r="AI21" s="231"/>
      <c r="AJ21" s="231"/>
      <c r="AK21" s="231"/>
      <c r="AL21" s="231"/>
    </row>
    <row r="22" spans="1:38" x14ac:dyDescent="0.2">
      <c r="B22" s="153" t="s">
        <v>183</v>
      </c>
      <c r="C22" s="5">
        <v>34</v>
      </c>
      <c r="D22" s="5"/>
      <c r="E22" s="5"/>
      <c r="F22" s="5"/>
      <c r="G22" s="5"/>
      <c r="H22" s="5"/>
      <c r="I22" s="219">
        <f>_xlfn.IFNA(C22/$J$1,0)</f>
        <v>75.555555555555557</v>
      </c>
      <c r="J22" s="219">
        <f t="shared" si="4"/>
        <v>0</v>
      </c>
      <c r="K22" s="219">
        <f t="shared" si="4"/>
        <v>0</v>
      </c>
      <c r="L22" s="219">
        <f t="shared" si="4"/>
        <v>0</v>
      </c>
      <c r="M22" s="219">
        <f t="shared" si="4"/>
        <v>0</v>
      </c>
      <c r="N22" s="219">
        <f t="shared" si="4"/>
        <v>0</v>
      </c>
      <c r="O22" s="32">
        <f t="shared" si="5"/>
        <v>85</v>
      </c>
      <c r="P22" s="32">
        <f t="shared" si="5"/>
        <v>0</v>
      </c>
      <c r="Q22" s="32">
        <f t="shared" si="5"/>
        <v>0</v>
      </c>
      <c r="R22" s="32">
        <f t="shared" si="5"/>
        <v>0</v>
      </c>
      <c r="S22" s="32">
        <f t="shared" si="5"/>
        <v>0</v>
      </c>
      <c r="T22" s="32">
        <f t="shared" si="5"/>
        <v>0</v>
      </c>
      <c r="U22" s="32">
        <f t="shared" si="6"/>
        <v>97.142857142857153</v>
      </c>
      <c r="V22" s="32">
        <f t="shared" si="6"/>
        <v>0</v>
      </c>
      <c r="W22" s="32">
        <f t="shared" si="6"/>
        <v>0</v>
      </c>
      <c r="X22" s="32">
        <f t="shared" si="6"/>
        <v>0</v>
      </c>
      <c r="Y22" s="32">
        <f t="shared" si="6"/>
        <v>0</v>
      </c>
      <c r="Z22" s="32">
        <f t="shared" si="6"/>
        <v>0</v>
      </c>
      <c r="AA22" s="32">
        <f t="shared" si="7"/>
        <v>113.33333333333334</v>
      </c>
      <c r="AB22" s="32">
        <f t="shared" si="7"/>
        <v>0</v>
      </c>
      <c r="AC22" s="32">
        <f t="shared" si="7"/>
        <v>0</v>
      </c>
      <c r="AD22" s="32">
        <f t="shared" si="7"/>
        <v>0</v>
      </c>
      <c r="AE22" s="32">
        <f t="shared" si="7"/>
        <v>0</v>
      </c>
      <c r="AF22" s="32">
        <f t="shared" si="7"/>
        <v>0</v>
      </c>
      <c r="AG22" s="229">
        <v>34</v>
      </c>
      <c r="AH22" s="229"/>
      <c r="AI22" s="229"/>
      <c r="AJ22" s="229"/>
      <c r="AK22" s="229"/>
      <c r="AL22" s="229"/>
    </row>
    <row r="23" spans="1:38" x14ac:dyDescent="0.2">
      <c r="B23" s="153" t="s">
        <v>180</v>
      </c>
      <c r="C23" s="5">
        <v>27</v>
      </c>
      <c r="D23" s="5">
        <v>0</v>
      </c>
      <c r="E23" s="5">
        <f>'Pastel Zanahoria'!F21</f>
        <v>0</v>
      </c>
      <c r="F23" s="5">
        <f>'Pastel Zanahoria'!G21</f>
        <v>0</v>
      </c>
      <c r="G23" s="5">
        <f>'Pastel Zanahoria'!H21</f>
        <v>0</v>
      </c>
      <c r="H23" s="5">
        <f>'Pastel Zanahoria'!C21</f>
        <v>0</v>
      </c>
      <c r="I23" s="219">
        <f t="shared" si="4"/>
        <v>60</v>
      </c>
      <c r="J23" s="219">
        <f t="shared" si="4"/>
        <v>0</v>
      </c>
      <c r="K23" s="219">
        <f t="shared" si="4"/>
        <v>0</v>
      </c>
      <c r="L23" s="219">
        <f t="shared" si="4"/>
        <v>0</v>
      </c>
      <c r="M23" s="219">
        <f t="shared" si="4"/>
        <v>0</v>
      </c>
      <c r="N23" s="219">
        <f t="shared" si="4"/>
        <v>0</v>
      </c>
      <c r="O23" s="32">
        <f t="shared" si="5"/>
        <v>67.5</v>
      </c>
      <c r="P23" s="32">
        <f t="shared" si="5"/>
        <v>0</v>
      </c>
      <c r="Q23" s="32">
        <f t="shared" si="5"/>
        <v>0</v>
      </c>
      <c r="R23" s="32">
        <f t="shared" si="5"/>
        <v>0</v>
      </c>
      <c r="S23" s="32">
        <f t="shared" si="5"/>
        <v>0</v>
      </c>
      <c r="T23" s="32">
        <f t="shared" si="5"/>
        <v>0</v>
      </c>
      <c r="U23" s="32">
        <f t="shared" si="6"/>
        <v>77.142857142857153</v>
      </c>
      <c r="V23" s="32">
        <f t="shared" si="6"/>
        <v>0</v>
      </c>
      <c r="W23" s="32">
        <f t="shared" si="6"/>
        <v>0</v>
      </c>
      <c r="X23" s="32">
        <f t="shared" si="6"/>
        <v>0</v>
      </c>
      <c r="Y23" s="32">
        <f t="shared" si="6"/>
        <v>0</v>
      </c>
      <c r="Z23" s="32">
        <f t="shared" si="6"/>
        <v>0</v>
      </c>
      <c r="AA23" s="32">
        <f t="shared" si="7"/>
        <v>90</v>
      </c>
      <c r="AB23" s="32">
        <f t="shared" si="7"/>
        <v>0</v>
      </c>
      <c r="AC23" s="32">
        <f t="shared" si="7"/>
        <v>0</v>
      </c>
      <c r="AD23" s="32">
        <f t="shared" si="7"/>
        <v>0</v>
      </c>
      <c r="AE23" s="32">
        <f t="shared" si="7"/>
        <v>0</v>
      </c>
      <c r="AF23" s="32">
        <f t="shared" si="7"/>
        <v>0</v>
      </c>
      <c r="AG23" s="229">
        <v>27</v>
      </c>
      <c r="AH23" s="229"/>
      <c r="AI23" s="229"/>
      <c r="AJ23" s="229"/>
      <c r="AK23" s="229"/>
      <c r="AL23" s="229"/>
    </row>
    <row r="24" spans="1:38" x14ac:dyDescent="0.2">
      <c r="B24" s="153" t="s">
        <v>430</v>
      </c>
      <c r="C24" s="5">
        <v>30</v>
      </c>
      <c r="D24" s="5">
        <f>'Pastel Chocolate'!E24</f>
        <v>0</v>
      </c>
      <c r="E24" s="5">
        <f>'Pastel Chocolate'!F24</f>
        <v>0</v>
      </c>
      <c r="F24" s="5">
        <f>'Pastel Chocolate'!G24</f>
        <v>0</v>
      </c>
      <c r="G24" s="5">
        <f>'Pastel Chocolate'!H24</f>
        <v>0</v>
      </c>
      <c r="H24" s="5">
        <f>'Pastel Chocolate'!C24</f>
        <v>0</v>
      </c>
      <c r="I24" s="219">
        <f t="shared" si="4"/>
        <v>66.666666666666671</v>
      </c>
      <c r="J24" s="219">
        <f t="shared" si="4"/>
        <v>0</v>
      </c>
      <c r="K24" s="219">
        <f t="shared" si="4"/>
        <v>0</v>
      </c>
      <c r="L24" s="219">
        <f t="shared" si="4"/>
        <v>0</v>
      </c>
      <c r="M24" s="219">
        <f t="shared" si="4"/>
        <v>0</v>
      </c>
      <c r="N24" s="219">
        <f t="shared" si="4"/>
        <v>0</v>
      </c>
      <c r="O24" s="32">
        <f t="shared" si="5"/>
        <v>75</v>
      </c>
      <c r="P24" s="32">
        <f t="shared" si="5"/>
        <v>0</v>
      </c>
      <c r="Q24" s="32">
        <f t="shared" si="5"/>
        <v>0</v>
      </c>
      <c r="R24" s="32">
        <f t="shared" si="5"/>
        <v>0</v>
      </c>
      <c r="S24" s="32">
        <f t="shared" si="5"/>
        <v>0</v>
      </c>
      <c r="T24" s="32">
        <f t="shared" si="5"/>
        <v>0</v>
      </c>
      <c r="U24" s="32">
        <f t="shared" si="6"/>
        <v>85.714285714285722</v>
      </c>
      <c r="V24" s="32">
        <f t="shared" si="6"/>
        <v>0</v>
      </c>
      <c r="W24" s="32">
        <f t="shared" si="6"/>
        <v>0</v>
      </c>
      <c r="X24" s="32">
        <f t="shared" si="6"/>
        <v>0</v>
      </c>
      <c r="Y24" s="32">
        <f t="shared" si="6"/>
        <v>0</v>
      </c>
      <c r="Z24" s="32">
        <f t="shared" si="6"/>
        <v>0</v>
      </c>
      <c r="AA24" s="32">
        <f t="shared" si="7"/>
        <v>100</v>
      </c>
      <c r="AB24" s="32">
        <f t="shared" si="7"/>
        <v>0</v>
      </c>
      <c r="AC24" s="32">
        <f t="shared" si="7"/>
        <v>0</v>
      </c>
      <c r="AD24" s="32">
        <f t="shared" si="7"/>
        <v>0</v>
      </c>
      <c r="AE24" s="32">
        <f t="shared" si="7"/>
        <v>0</v>
      </c>
      <c r="AF24" s="32">
        <f t="shared" si="7"/>
        <v>0</v>
      </c>
      <c r="AG24" s="229">
        <v>30</v>
      </c>
      <c r="AH24" s="229"/>
      <c r="AI24" s="229"/>
      <c r="AJ24" s="229"/>
      <c r="AK24" s="229"/>
      <c r="AL24" s="229"/>
    </row>
    <row r="25" spans="1:38" ht="16" thickBot="1" x14ac:dyDescent="0.25">
      <c r="A25" s="98"/>
      <c r="B25" s="154" t="s">
        <v>431</v>
      </c>
      <c r="C25" s="100">
        <v>39</v>
      </c>
      <c r="D25" s="100">
        <v>0</v>
      </c>
      <c r="E25" s="100">
        <v>0</v>
      </c>
      <c r="F25" s="100">
        <v>0</v>
      </c>
      <c r="G25" s="100">
        <v>0</v>
      </c>
      <c r="H25" s="100">
        <v>0</v>
      </c>
      <c r="I25" s="219">
        <f>_xlfn.IFNA(C25/$J$1,0)</f>
        <v>86.666666666666671</v>
      </c>
      <c r="J25" s="219">
        <f t="shared" si="4"/>
        <v>0</v>
      </c>
      <c r="K25" s="219">
        <f>_xlfn.IFNA(E25/$J$1,0)</f>
        <v>0</v>
      </c>
      <c r="L25" s="219">
        <f t="shared" si="4"/>
        <v>0</v>
      </c>
      <c r="M25" s="219">
        <f t="shared" si="4"/>
        <v>0</v>
      </c>
      <c r="N25" s="219">
        <f t="shared" si="4"/>
        <v>0</v>
      </c>
      <c r="O25" s="32">
        <f t="shared" si="5"/>
        <v>97.5</v>
      </c>
      <c r="P25" s="32">
        <f t="shared" si="5"/>
        <v>0</v>
      </c>
      <c r="Q25" s="32">
        <f t="shared" si="5"/>
        <v>0</v>
      </c>
      <c r="R25" s="32">
        <f t="shared" si="5"/>
        <v>0</v>
      </c>
      <c r="S25" s="32">
        <f t="shared" si="5"/>
        <v>0</v>
      </c>
      <c r="T25" s="32">
        <f t="shared" si="5"/>
        <v>0</v>
      </c>
      <c r="U25" s="32">
        <f t="shared" si="6"/>
        <v>111.42857142857143</v>
      </c>
      <c r="V25" s="32">
        <f t="shared" si="6"/>
        <v>0</v>
      </c>
      <c r="W25" s="32">
        <f t="shared" si="6"/>
        <v>0</v>
      </c>
      <c r="X25" s="32">
        <f t="shared" si="6"/>
        <v>0</v>
      </c>
      <c r="Y25" s="32">
        <f t="shared" si="6"/>
        <v>0</v>
      </c>
      <c r="Z25" s="32">
        <f t="shared" si="6"/>
        <v>0</v>
      </c>
      <c r="AA25" s="32">
        <f t="shared" si="7"/>
        <v>130</v>
      </c>
      <c r="AB25" s="32">
        <f t="shared" si="7"/>
        <v>0</v>
      </c>
      <c r="AC25" s="32">
        <f t="shared" si="7"/>
        <v>0</v>
      </c>
      <c r="AD25" s="32">
        <f t="shared" si="7"/>
        <v>0</v>
      </c>
      <c r="AE25" s="32">
        <f t="shared" si="7"/>
        <v>0</v>
      </c>
      <c r="AF25" s="32">
        <f t="shared" si="7"/>
        <v>0</v>
      </c>
      <c r="AG25" s="230">
        <v>39</v>
      </c>
      <c r="AH25" s="230"/>
      <c r="AI25" s="230"/>
      <c r="AJ25" s="230"/>
      <c r="AK25" s="230"/>
      <c r="AL25" s="230"/>
    </row>
    <row r="26" spans="1:38" ht="16" thickTop="1" x14ac:dyDescent="0.2">
      <c r="A26" s="20" t="s">
        <v>432</v>
      </c>
      <c r="B26" s="153" t="s">
        <v>431</v>
      </c>
      <c r="C26" s="5">
        <v>135</v>
      </c>
      <c r="D26" s="5">
        <f>'Resumen Costos'!D28</f>
        <v>0</v>
      </c>
      <c r="E26" s="5">
        <v>0</v>
      </c>
      <c r="F26" s="5">
        <v>650</v>
      </c>
      <c r="G26" s="5">
        <f>'Resumen Costos'!G28</f>
        <v>0</v>
      </c>
      <c r="H26" s="5">
        <f>'Resumen Costos'!H28</f>
        <v>0</v>
      </c>
      <c r="I26" s="219">
        <f t="shared" si="4"/>
        <v>300</v>
      </c>
      <c r="J26" s="219">
        <f t="shared" si="4"/>
        <v>0</v>
      </c>
      <c r="K26" s="219">
        <f t="shared" si="4"/>
        <v>0</v>
      </c>
      <c r="L26" s="219">
        <f t="shared" si="4"/>
        <v>1444.4444444444443</v>
      </c>
      <c r="M26" s="219">
        <f t="shared" si="4"/>
        <v>0</v>
      </c>
      <c r="N26" s="219">
        <f t="shared" si="4"/>
        <v>0</v>
      </c>
      <c r="O26" s="32">
        <f t="shared" si="5"/>
        <v>337.5</v>
      </c>
      <c r="P26" s="32">
        <f t="shared" si="5"/>
        <v>0</v>
      </c>
      <c r="Q26" s="32">
        <f t="shared" si="5"/>
        <v>0</v>
      </c>
      <c r="R26" s="32">
        <f t="shared" si="5"/>
        <v>1625</v>
      </c>
      <c r="S26" s="32">
        <f t="shared" si="5"/>
        <v>0</v>
      </c>
      <c r="T26" s="32">
        <f t="shared" si="5"/>
        <v>0</v>
      </c>
      <c r="U26" s="32">
        <f t="shared" si="6"/>
        <v>385.71428571428572</v>
      </c>
      <c r="V26" s="32">
        <f t="shared" si="6"/>
        <v>0</v>
      </c>
      <c r="W26" s="32">
        <f t="shared" si="6"/>
        <v>0</v>
      </c>
      <c r="X26" s="32">
        <f t="shared" si="6"/>
        <v>1857.1428571428573</v>
      </c>
      <c r="Y26" s="32">
        <f t="shared" si="6"/>
        <v>0</v>
      </c>
      <c r="Z26" s="32">
        <f t="shared" si="6"/>
        <v>0</v>
      </c>
      <c r="AA26" s="32">
        <f t="shared" si="7"/>
        <v>450</v>
      </c>
      <c r="AB26" s="32">
        <f t="shared" si="7"/>
        <v>0</v>
      </c>
      <c r="AC26" s="32">
        <f t="shared" si="7"/>
        <v>0</v>
      </c>
      <c r="AD26" s="32">
        <f t="shared" si="7"/>
        <v>2166.666666666667</v>
      </c>
      <c r="AE26" s="32">
        <f t="shared" si="7"/>
        <v>0</v>
      </c>
      <c r="AF26" s="32">
        <f t="shared" si="7"/>
        <v>0</v>
      </c>
      <c r="AG26" s="231">
        <v>135</v>
      </c>
      <c r="AH26" s="231"/>
      <c r="AI26" s="231"/>
      <c r="AJ26" s="231">
        <v>650</v>
      </c>
      <c r="AK26" s="231"/>
      <c r="AL26" s="231"/>
    </row>
    <row r="27" spans="1:38" x14ac:dyDescent="0.2">
      <c r="B27" s="153" t="s">
        <v>433</v>
      </c>
      <c r="C27" s="5">
        <v>125</v>
      </c>
      <c r="D27" s="5">
        <f>'Resumen Costos'!D29</f>
        <v>0</v>
      </c>
      <c r="E27" s="5">
        <v>0</v>
      </c>
      <c r="F27" s="5">
        <v>590</v>
      </c>
      <c r="G27" s="5">
        <f>'Resumen Costos'!G29</f>
        <v>0</v>
      </c>
      <c r="H27" s="5">
        <f>'Resumen Costos'!H29</f>
        <v>0</v>
      </c>
      <c r="I27" s="219">
        <f t="shared" si="4"/>
        <v>277.77777777777777</v>
      </c>
      <c r="J27" s="219">
        <f t="shared" si="4"/>
        <v>0</v>
      </c>
      <c r="K27" s="219">
        <f t="shared" si="4"/>
        <v>0</v>
      </c>
      <c r="L27" s="219">
        <f t="shared" si="4"/>
        <v>1311.1111111111111</v>
      </c>
      <c r="M27" s="219">
        <f t="shared" si="4"/>
        <v>0</v>
      </c>
      <c r="N27" s="219">
        <f t="shared" si="4"/>
        <v>0</v>
      </c>
      <c r="O27" s="32">
        <f t="shared" si="5"/>
        <v>312.5</v>
      </c>
      <c r="P27" s="32">
        <f t="shared" si="5"/>
        <v>0</v>
      </c>
      <c r="Q27" s="32">
        <f t="shared" si="5"/>
        <v>0</v>
      </c>
      <c r="R27" s="32">
        <f t="shared" si="5"/>
        <v>1475</v>
      </c>
      <c r="S27" s="32">
        <f t="shared" si="5"/>
        <v>0</v>
      </c>
      <c r="T27" s="32">
        <f t="shared" si="5"/>
        <v>0</v>
      </c>
      <c r="U27" s="32">
        <f t="shared" si="6"/>
        <v>357.14285714285717</v>
      </c>
      <c r="V27" s="32">
        <f t="shared" si="6"/>
        <v>0</v>
      </c>
      <c r="W27" s="32">
        <f t="shared" si="6"/>
        <v>0</v>
      </c>
      <c r="X27" s="32">
        <f t="shared" si="6"/>
        <v>1685.7142857142858</v>
      </c>
      <c r="Y27" s="32">
        <f t="shared" si="6"/>
        <v>0</v>
      </c>
      <c r="Z27" s="32">
        <f t="shared" si="6"/>
        <v>0</v>
      </c>
      <c r="AA27" s="32">
        <f t="shared" si="7"/>
        <v>416.66666666666669</v>
      </c>
      <c r="AB27" s="32">
        <f t="shared" si="7"/>
        <v>0</v>
      </c>
      <c r="AC27" s="32">
        <f t="shared" si="7"/>
        <v>0</v>
      </c>
      <c r="AD27" s="32">
        <f t="shared" si="7"/>
        <v>1966.6666666666667</v>
      </c>
      <c r="AE27" s="32">
        <f t="shared" si="7"/>
        <v>0</v>
      </c>
      <c r="AF27" s="32">
        <f t="shared" si="7"/>
        <v>0</v>
      </c>
      <c r="AG27" s="229">
        <v>125</v>
      </c>
      <c r="AH27" s="229"/>
      <c r="AI27" s="229"/>
      <c r="AJ27" s="229">
        <v>590</v>
      </c>
      <c r="AK27" s="229"/>
      <c r="AL27" s="229"/>
    </row>
    <row r="28" spans="1:38" x14ac:dyDescent="0.2">
      <c r="B28" s="124" t="s">
        <v>692</v>
      </c>
      <c r="C28" s="13">
        <v>130</v>
      </c>
      <c r="D28" s="13">
        <f>'Resumen Costos'!D33</f>
        <v>0</v>
      </c>
      <c r="E28" s="13">
        <v>0</v>
      </c>
      <c r="F28" s="13">
        <v>635</v>
      </c>
      <c r="G28" s="13">
        <f>'Resumen Costos'!G33</f>
        <v>0</v>
      </c>
      <c r="H28" s="13">
        <f>'Resumen Costos'!H33</f>
        <v>0</v>
      </c>
      <c r="I28" s="219">
        <f t="shared" si="4"/>
        <v>288.88888888888886</v>
      </c>
      <c r="J28" s="219">
        <f t="shared" si="4"/>
        <v>0</v>
      </c>
      <c r="K28" s="219">
        <f t="shared" si="4"/>
        <v>0</v>
      </c>
      <c r="L28" s="219">
        <f t="shared" si="4"/>
        <v>1411.1111111111111</v>
      </c>
      <c r="M28" s="219">
        <f t="shared" si="4"/>
        <v>0</v>
      </c>
      <c r="N28" s="219">
        <f t="shared" si="4"/>
        <v>0</v>
      </c>
      <c r="O28" s="32">
        <f t="shared" ref="O28:T35" si="8">_xlfn.IFNA(C28/$P$1,0)</f>
        <v>325</v>
      </c>
      <c r="P28" s="32">
        <f t="shared" si="8"/>
        <v>0</v>
      </c>
      <c r="Q28" s="32">
        <f t="shared" si="8"/>
        <v>0</v>
      </c>
      <c r="R28" s="32">
        <f t="shared" si="8"/>
        <v>1587.5</v>
      </c>
      <c r="S28" s="32">
        <f t="shared" si="8"/>
        <v>0</v>
      </c>
      <c r="T28" s="32">
        <f t="shared" si="8"/>
        <v>0</v>
      </c>
      <c r="U28" s="32">
        <f t="shared" ref="U28:Z35" si="9">_xlfn.IFNA(C28/$V$1,0)</f>
        <v>371.42857142857144</v>
      </c>
      <c r="V28" s="32">
        <f t="shared" si="9"/>
        <v>0</v>
      </c>
      <c r="W28" s="32">
        <f t="shared" si="9"/>
        <v>0</v>
      </c>
      <c r="X28" s="32">
        <f t="shared" si="9"/>
        <v>1814.2857142857144</v>
      </c>
      <c r="Y28" s="32">
        <f t="shared" si="9"/>
        <v>0</v>
      </c>
      <c r="Z28" s="32">
        <f t="shared" si="9"/>
        <v>0</v>
      </c>
      <c r="AA28" s="32">
        <f t="shared" ref="AA28:AF35" si="10">_xlfn.IFNA(C28/$AB$1,0)</f>
        <v>433.33333333333337</v>
      </c>
      <c r="AB28" s="32">
        <f t="shared" si="10"/>
        <v>0</v>
      </c>
      <c r="AC28" s="32">
        <f t="shared" si="10"/>
        <v>0</v>
      </c>
      <c r="AD28" s="32">
        <f t="shared" si="10"/>
        <v>2116.666666666667</v>
      </c>
      <c r="AE28" s="32">
        <f t="shared" si="10"/>
        <v>0</v>
      </c>
      <c r="AF28" s="32">
        <f t="shared" si="10"/>
        <v>0</v>
      </c>
      <c r="AG28" s="229">
        <v>130</v>
      </c>
      <c r="AH28" s="229"/>
      <c r="AI28" s="229"/>
      <c r="AJ28" s="229">
        <v>635</v>
      </c>
      <c r="AK28" s="229"/>
      <c r="AL28" s="229"/>
    </row>
    <row r="29" spans="1:38" x14ac:dyDescent="0.2">
      <c r="A29" s="20" t="s">
        <v>524</v>
      </c>
      <c r="B29" s="153" t="s">
        <v>323</v>
      </c>
      <c r="C29" s="5">
        <v>32</v>
      </c>
      <c r="D29" s="5">
        <v>0</v>
      </c>
      <c r="E29" s="5">
        <v>0</v>
      </c>
      <c r="F29" s="5">
        <v>0</v>
      </c>
      <c r="G29" s="5">
        <v>0</v>
      </c>
      <c r="H29" s="5">
        <v>0</v>
      </c>
      <c r="I29" s="219">
        <f t="shared" si="4"/>
        <v>71.111111111111114</v>
      </c>
      <c r="J29" s="219">
        <f t="shared" si="4"/>
        <v>0</v>
      </c>
      <c r="K29" s="219">
        <f t="shared" si="4"/>
        <v>0</v>
      </c>
      <c r="L29" s="219">
        <f t="shared" si="4"/>
        <v>0</v>
      </c>
      <c r="M29" s="219">
        <f t="shared" si="4"/>
        <v>0</v>
      </c>
      <c r="N29" s="219">
        <f t="shared" si="4"/>
        <v>0</v>
      </c>
      <c r="O29" s="32">
        <f t="shared" si="8"/>
        <v>80</v>
      </c>
      <c r="P29" s="32">
        <f t="shared" si="8"/>
        <v>0</v>
      </c>
      <c r="Q29" s="32">
        <f t="shared" si="8"/>
        <v>0</v>
      </c>
      <c r="R29" s="32">
        <f t="shared" si="8"/>
        <v>0</v>
      </c>
      <c r="S29" s="32">
        <f t="shared" si="8"/>
        <v>0</v>
      </c>
      <c r="T29" s="32">
        <f t="shared" si="8"/>
        <v>0</v>
      </c>
      <c r="U29" s="32">
        <f t="shared" si="9"/>
        <v>91.428571428571431</v>
      </c>
      <c r="V29" s="32">
        <f t="shared" si="9"/>
        <v>0</v>
      </c>
      <c r="W29" s="32">
        <f t="shared" si="9"/>
        <v>0</v>
      </c>
      <c r="X29" s="32">
        <f t="shared" si="9"/>
        <v>0</v>
      </c>
      <c r="Y29" s="32">
        <f t="shared" si="9"/>
        <v>0</v>
      </c>
      <c r="Z29" s="32">
        <f t="shared" si="9"/>
        <v>0</v>
      </c>
      <c r="AA29" s="32">
        <f t="shared" si="10"/>
        <v>106.66666666666667</v>
      </c>
      <c r="AB29" s="32">
        <f t="shared" si="10"/>
        <v>0</v>
      </c>
      <c r="AC29" s="32">
        <f t="shared" si="10"/>
        <v>0</v>
      </c>
      <c r="AD29" s="32">
        <f t="shared" si="10"/>
        <v>0</v>
      </c>
      <c r="AE29" s="32">
        <f t="shared" si="10"/>
        <v>0</v>
      </c>
      <c r="AF29" s="32">
        <f t="shared" si="10"/>
        <v>0</v>
      </c>
      <c r="AG29" s="229">
        <v>32</v>
      </c>
      <c r="AH29" s="229"/>
      <c r="AI29" s="229"/>
      <c r="AJ29" s="229"/>
      <c r="AK29" s="229"/>
      <c r="AL29" s="229"/>
    </row>
    <row r="30" spans="1:38" x14ac:dyDescent="0.2">
      <c r="B30" s="124" t="s">
        <v>431</v>
      </c>
      <c r="C30" s="13">
        <v>48</v>
      </c>
      <c r="D30" s="13"/>
      <c r="E30" s="13"/>
      <c r="F30" s="13"/>
      <c r="G30" s="13"/>
      <c r="H30" s="13"/>
      <c r="I30" s="219">
        <f t="shared" si="4"/>
        <v>106.66666666666666</v>
      </c>
      <c r="J30" s="219">
        <f t="shared" si="4"/>
        <v>0</v>
      </c>
      <c r="K30" s="219">
        <f t="shared" si="4"/>
        <v>0</v>
      </c>
      <c r="L30" s="219">
        <f t="shared" si="4"/>
        <v>0</v>
      </c>
      <c r="M30" s="219">
        <f t="shared" si="4"/>
        <v>0</v>
      </c>
      <c r="N30" s="219">
        <f t="shared" si="4"/>
        <v>0</v>
      </c>
      <c r="O30" s="32">
        <f t="shared" si="8"/>
        <v>120</v>
      </c>
      <c r="P30" s="32">
        <f t="shared" si="8"/>
        <v>0</v>
      </c>
      <c r="Q30" s="32">
        <f t="shared" si="8"/>
        <v>0</v>
      </c>
      <c r="R30" s="32">
        <f t="shared" si="8"/>
        <v>0</v>
      </c>
      <c r="S30" s="32">
        <f t="shared" si="8"/>
        <v>0</v>
      </c>
      <c r="T30" s="32">
        <f t="shared" si="8"/>
        <v>0</v>
      </c>
      <c r="U30" s="32">
        <f t="shared" si="9"/>
        <v>137.14285714285714</v>
      </c>
      <c r="V30" s="32">
        <f t="shared" si="9"/>
        <v>0</v>
      </c>
      <c r="W30" s="32">
        <f t="shared" si="9"/>
        <v>0</v>
      </c>
      <c r="X30" s="32">
        <f t="shared" si="9"/>
        <v>0</v>
      </c>
      <c r="Y30" s="32">
        <f t="shared" si="9"/>
        <v>0</v>
      </c>
      <c r="Z30" s="32">
        <f t="shared" si="9"/>
        <v>0</v>
      </c>
      <c r="AA30" s="32">
        <f t="shared" si="10"/>
        <v>160</v>
      </c>
      <c r="AB30" s="32">
        <f t="shared" si="10"/>
        <v>0</v>
      </c>
      <c r="AC30" s="32">
        <f t="shared" si="10"/>
        <v>0</v>
      </c>
      <c r="AD30" s="32">
        <f t="shared" si="10"/>
        <v>0</v>
      </c>
      <c r="AE30" s="32">
        <f t="shared" si="10"/>
        <v>0</v>
      </c>
      <c r="AF30" s="32">
        <f t="shared" si="10"/>
        <v>0</v>
      </c>
      <c r="AG30" s="229">
        <v>48</v>
      </c>
      <c r="AH30" s="229"/>
      <c r="AI30" s="229"/>
      <c r="AJ30" s="229"/>
      <c r="AK30" s="229"/>
      <c r="AL30" s="229"/>
    </row>
    <row r="31" spans="1:38" x14ac:dyDescent="0.2">
      <c r="B31" s="124" t="s">
        <v>430</v>
      </c>
      <c r="C31" s="13">
        <v>30</v>
      </c>
      <c r="D31" s="13"/>
      <c r="E31" s="13"/>
      <c r="F31" s="13"/>
      <c r="G31" s="13"/>
      <c r="H31" s="13"/>
      <c r="I31" s="219">
        <f t="shared" si="4"/>
        <v>66.666666666666671</v>
      </c>
      <c r="J31" s="219">
        <f t="shared" si="4"/>
        <v>0</v>
      </c>
      <c r="K31" s="219">
        <f t="shared" si="4"/>
        <v>0</v>
      </c>
      <c r="L31" s="219">
        <f t="shared" si="4"/>
        <v>0</v>
      </c>
      <c r="M31" s="219">
        <f t="shared" si="4"/>
        <v>0</v>
      </c>
      <c r="N31" s="219">
        <f t="shared" si="4"/>
        <v>0</v>
      </c>
      <c r="O31" s="32">
        <f t="shared" si="8"/>
        <v>75</v>
      </c>
      <c r="P31" s="32">
        <f t="shared" si="8"/>
        <v>0</v>
      </c>
      <c r="Q31" s="32">
        <f t="shared" si="8"/>
        <v>0</v>
      </c>
      <c r="R31" s="32">
        <f t="shared" si="8"/>
        <v>0</v>
      </c>
      <c r="S31" s="32">
        <f t="shared" si="8"/>
        <v>0</v>
      </c>
      <c r="T31" s="32">
        <f t="shared" si="8"/>
        <v>0</v>
      </c>
      <c r="U31" s="32">
        <f t="shared" si="9"/>
        <v>85.714285714285722</v>
      </c>
      <c r="V31" s="32">
        <f t="shared" si="9"/>
        <v>0</v>
      </c>
      <c r="W31" s="32">
        <f t="shared" si="9"/>
        <v>0</v>
      </c>
      <c r="X31" s="32">
        <f t="shared" si="9"/>
        <v>0</v>
      </c>
      <c r="Y31" s="32">
        <f t="shared" si="9"/>
        <v>0</v>
      </c>
      <c r="Z31" s="32">
        <f t="shared" si="9"/>
        <v>0</v>
      </c>
      <c r="AA31" s="32">
        <f t="shared" si="10"/>
        <v>100</v>
      </c>
      <c r="AB31" s="32">
        <f t="shared" si="10"/>
        <v>0</v>
      </c>
      <c r="AC31" s="32">
        <f t="shared" si="10"/>
        <v>0</v>
      </c>
      <c r="AD31" s="32">
        <f t="shared" si="10"/>
        <v>0</v>
      </c>
      <c r="AE31" s="32">
        <f t="shared" si="10"/>
        <v>0</v>
      </c>
      <c r="AF31" s="32">
        <f t="shared" si="10"/>
        <v>0</v>
      </c>
      <c r="AG31" s="229">
        <v>30</v>
      </c>
      <c r="AH31" s="229"/>
      <c r="AI31" s="229"/>
      <c r="AJ31" s="229"/>
      <c r="AK31" s="229"/>
      <c r="AL31" s="229"/>
    </row>
    <row r="32" spans="1:38" x14ac:dyDescent="0.2">
      <c r="B32" s="124" t="s">
        <v>285</v>
      </c>
      <c r="C32" s="13">
        <v>30</v>
      </c>
      <c r="D32" s="13"/>
      <c r="E32" s="13"/>
      <c r="F32" s="13"/>
      <c r="G32" s="13"/>
      <c r="H32" s="13"/>
      <c r="I32" s="219">
        <f t="shared" si="4"/>
        <v>66.666666666666671</v>
      </c>
      <c r="J32" s="219">
        <f t="shared" si="4"/>
        <v>0</v>
      </c>
      <c r="K32" s="219">
        <f t="shared" si="4"/>
        <v>0</v>
      </c>
      <c r="L32" s="219">
        <f t="shared" si="4"/>
        <v>0</v>
      </c>
      <c r="M32" s="219">
        <f t="shared" si="4"/>
        <v>0</v>
      </c>
      <c r="N32" s="219">
        <f t="shared" si="4"/>
        <v>0</v>
      </c>
      <c r="O32" s="32">
        <f t="shared" si="8"/>
        <v>75</v>
      </c>
      <c r="P32" s="32">
        <f t="shared" si="8"/>
        <v>0</v>
      </c>
      <c r="Q32" s="32">
        <f t="shared" si="8"/>
        <v>0</v>
      </c>
      <c r="R32" s="32">
        <f t="shared" si="8"/>
        <v>0</v>
      </c>
      <c r="S32" s="32">
        <f t="shared" si="8"/>
        <v>0</v>
      </c>
      <c r="T32" s="32">
        <f t="shared" si="8"/>
        <v>0</v>
      </c>
      <c r="U32" s="32">
        <f t="shared" si="9"/>
        <v>85.714285714285722</v>
      </c>
      <c r="V32" s="32">
        <f t="shared" si="9"/>
        <v>0</v>
      </c>
      <c r="W32" s="32">
        <f t="shared" si="9"/>
        <v>0</v>
      </c>
      <c r="X32" s="32">
        <f t="shared" si="9"/>
        <v>0</v>
      </c>
      <c r="Y32" s="32">
        <f t="shared" si="9"/>
        <v>0</v>
      </c>
      <c r="Z32" s="32">
        <f t="shared" si="9"/>
        <v>0</v>
      </c>
      <c r="AA32" s="32">
        <f t="shared" si="10"/>
        <v>100</v>
      </c>
      <c r="AB32" s="32">
        <f t="shared" si="10"/>
        <v>0</v>
      </c>
      <c r="AC32" s="32">
        <f t="shared" si="10"/>
        <v>0</v>
      </c>
      <c r="AD32" s="32">
        <f t="shared" si="10"/>
        <v>0</v>
      </c>
      <c r="AE32" s="32">
        <f t="shared" si="10"/>
        <v>0</v>
      </c>
      <c r="AF32" s="32">
        <f t="shared" si="10"/>
        <v>0</v>
      </c>
      <c r="AG32" s="229">
        <v>30</v>
      </c>
      <c r="AH32" s="229"/>
      <c r="AI32" s="229"/>
      <c r="AJ32" s="229"/>
      <c r="AK32" s="229"/>
      <c r="AL32" s="229"/>
    </row>
    <row r="33" spans="1:38" x14ac:dyDescent="0.2">
      <c r="B33" s="124"/>
      <c r="C33" s="13"/>
      <c r="D33" s="13"/>
      <c r="E33" s="13"/>
      <c r="F33" s="13"/>
      <c r="G33" s="13"/>
      <c r="H33" s="13"/>
      <c r="I33" s="219"/>
      <c r="J33" s="219"/>
      <c r="K33" s="219"/>
      <c r="L33" s="219"/>
      <c r="M33" s="219"/>
      <c r="N33" s="219"/>
      <c r="O33" s="32"/>
      <c r="P33" s="32"/>
      <c r="Q33" s="32"/>
      <c r="R33" s="32"/>
      <c r="S33" s="32"/>
      <c r="T33" s="32"/>
      <c r="U33" s="32"/>
      <c r="V33" s="32"/>
      <c r="W33" s="32"/>
      <c r="X33" s="32"/>
      <c r="Y33" s="32"/>
      <c r="Z33" s="32"/>
      <c r="AA33" s="32"/>
      <c r="AB33" s="32"/>
      <c r="AC33" s="32"/>
      <c r="AD33" s="32"/>
      <c r="AE33" s="32"/>
      <c r="AF33" s="32"/>
      <c r="AG33" s="229"/>
      <c r="AH33" s="229"/>
      <c r="AI33" s="229"/>
      <c r="AJ33" s="229"/>
      <c r="AK33" s="229"/>
      <c r="AL33" s="229"/>
    </row>
    <row r="34" spans="1:38" x14ac:dyDescent="0.2">
      <c r="B34" s="124"/>
      <c r="C34" s="13"/>
      <c r="D34" s="13"/>
      <c r="E34" s="13"/>
      <c r="F34" s="13"/>
      <c r="G34" s="13"/>
      <c r="H34" s="13"/>
      <c r="I34" s="219"/>
      <c r="J34" s="219"/>
      <c r="K34" s="219"/>
      <c r="L34" s="219"/>
      <c r="M34" s="219"/>
      <c r="N34" s="219"/>
      <c r="O34" s="32"/>
      <c r="P34" s="32"/>
      <c r="Q34" s="32"/>
      <c r="R34" s="32"/>
      <c r="S34" s="32"/>
      <c r="T34" s="32"/>
      <c r="U34" s="32"/>
      <c r="V34" s="32"/>
      <c r="W34" s="32"/>
      <c r="X34" s="32"/>
      <c r="Y34" s="32"/>
      <c r="Z34" s="32"/>
      <c r="AA34" s="32"/>
      <c r="AB34" s="32"/>
      <c r="AC34" s="32"/>
      <c r="AD34" s="32"/>
      <c r="AE34" s="32"/>
      <c r="AF34" s="32"/>
      <c r="AG34" s="229"/>
      <c r="AH34" s="229"/>
      <c r="AI34" s="229"/>
      <c r="AJ34" s="229"/>
      <c r="AK34" s="229"/>
      <c r="AL34" s="229"/>
    </row>
    <row r="35" spans="1:38" x14ac:dyDescent="0.2">
      <c r="I35" s="219">
        <f t="shared" si="4"/>
        <v>0</v>
      </c>
      <c r="J35" s="219">
        <f t="shared" si="4"/>
        <v>0</v>
      </c>
      <c r="K35" s="219">
        <f t="shared" si="4"/>
        <v>0</v>
      </c>
      <c r="L35" s="219">
        <f t="shared" si="4"/>
        <v>0</v>
      </c>
      <c r="M35" s="219">
        <f t="shared" si="4"/>
        <v>0</v>
      </c>
      <c r="N35" s="219">
        <f t="shared" si="4"/>
        <v>0</v>
      </c>
      <c r="O35" s="32">
        <f t="shared" si="8"/>
        <v>0</v>
      </c>
      <c r="P35" s="32">
        <f t="shared" si="8"/>
        <v>0</v>
      </c>
      <c r="Q35" s="32">
        <f t="shared" si="8"/>
        <v>0</v>
      </c>
      <c r="R35" s="32">
        <f t="shared" si="8"/>
        <v>0</v>
      </c>
      <c r="S35" s="32">
        <f t="shared" si="8"/>
        <v>0</v>
      </c>
      <c r="T35" s="32">
        <f t="shared" si="8"/>
        <v>0</v>
      </c>
      <c r="U35" s="32">
        <f t="shared" si="9"/>
        <v>0</v>
      </c>
      <c r="V35" s="32">
        <f t="shared" si="9"/>
        <v>0</v>
      </c>
      <c r="W35" s="32">
        <f t="shared" si="9"/>
        <v>0</v>
      </c>
      <c r="X35" s="32">
        <f t="shared" si="9"/>
        <v>0</v>
      </c>
      <c r="Y35" s="32">
        <f t="shared" si="9"/>
        <v>0</v>
      </c>
      <c r="Z35" s="32">
        <f t="shared" si="9"/>
        <v>0</v>
      </c>
      <c r="AA35" s="32">
        <f t="shared" si="10"/>
        <v>0</v>
      </c>
      <c r="AB35" s="32">
        <f t="shared" si="10"/>
        <v>0</v>
      </c>
      <c r="AC35" s="32">
        <f t="shared" si="10"/>
        <v>0</v>
      </c>
      <c r="AD35" s="32">
        <f t="shared" si="10"/>
        <v>0</v>
      </c>
      <c r="AE35" s="32">
        <f t="shared" si="10"/>
        <v>0</v>
      </c>
      <c r="AF35" s="32">
        <f t="shared" si="10"/>
        <v>0</v>
      </c>
      <c r="AG35" s="229"/>
      <c r="AH35" s="229"/>
      <c r="AI35" s="229"/>
      <c r="AJ35" s="229"/>
      <c r="AK35" s="229"/>
      <c r="AL35" s="229"/>
    </row>
    <row r="36" spans="1:38" x14ac:dyDescent="0.2">
      <c r="I36" s="219"/>
      <c r="J36" s="219"/>
      <c r="K36" s="219"/>
      <c r="L36" s="219"/>
      <c r="M36" s="219"/>
      <c r="N36" s="219"/>
      <c r="O36" s="32"/>
      <c r="P36" s="32"/>
      <c r="Q36" s="32"/>
      <c r="R36" s="32"/>
      <c r="S36" s="32"/>
      <c r="T36" s="32"/>
      <c r="U36" s="32"/>
      <c r="V36" s="32"/>
      <c r="W36" s="32"/>
      <c r="X36" s="32"/>
      <c r="Y36" s="32"/>
      <c r="Z36" s="32"/>
      <c r="AA36" s="32"/>
      <c r="AB36" s="32"/>
      <c r="AC36" s="32"/>
      <c r="AD36" s="32"/>
      <c r="AE36" s="32"/>
      <c r="AF36" s="32"/>
      <c r="AG36" s="222"/>
      <c r="AH36" s="222"/>
      <c r="AI36" s="222"/>
      <c r="AJ36" s="222"/>
      <c r="AK36" s="222"/>
      <c r="AL36" s="222"/>
    </row>
    <row r="37" spans="1:38" ht="16" thickBot="1" x14ac:dyDescent="0.25">
      <c r="C37" s="143" t="s">
        <v>375</v>
      </c>
      <c r="D37" s="143" t="s">
        <v>370</v>
      </c>
      <c r="E37" s="143" t="s">
        <v>371</v>
      </c>
      <c r="F37" s="143" t="s">
        <v>372</v>
      </c>
      <c r="G37" s="143" t="s">
        <v>373</v>
      </c>
      <c r="H37" s="143" t="s">
        <v>413</v>
      </c>
      <c r="I37" s="218" t="s">
        <v>375</v>
      </c>
      <c r="J37" s="218" t="s">
        <v>370</v>
      </c>
      <c r="K37" s="218" t="s">
        <v>371</v>
      </c>
      <c r="L37" s="218" t="s">
        <v>372</v>
      </c>
      <c r="M37" s="218" t="s">
        <v>373</v>
      </c>
      <c r="N37" s="218" t="s">
        <v>413</v>
      </c>
      <c r="O37" s="143" t="s">
        <v>375</v>
      </c>
      <c r="P37" s="143" t="s">
        <v>370</v>
      </c>
      <c r="Q37" s="143" t="s">
        <v>371</v>
      </c>
      <c r="R37" s="143" t="s">
        <v>372</v>
      </c>
      <c r="S37" s="143" t="s">
        <v>373</v>
      </c>
      <c r="T37" s="143" t="s">
        <v>413</v>
      </c>
      <c r="U37" s="143" t="s">
        <v>375</v>
      </c>
      <c r="V37" s="143" t="s">
        <v>370</v>
      </c>
      <c r="W37" s="143" t="s">
        <v>371</v>
      </c>
      <c r="X37" s="143" t="s">
        <v>372</v>
      </c>
      <c r="Y37" s="143" t="s">
        <v>373</v>
      </c>
      <c r="Z37" s="143" t="s">
        <v>413</v>
      </c>
      <c r="AA37" s="143" t="s">
        <v>375</v>
      </c>
      <c r="AB37" s="143" t="s">
        <v>370</v>
      </c>
      <c r="AC37" s="143" t="s">
        <v>371</v>
      </c>
      <c r="AD37" s="143" t="s">
        <v>372</v>
      </c>
      <c r="AE37" s="143" t="s">
        <v>373</v>
      </c>
      <c r="AF37" s="143" t="s">
        <v>413</v>
      </c>
      <c r="AG37" s="226" t="s">
        <v>375</v>
      </c>
      <c r="AH37" s="226" t="s">
        <v>370</v>
      </c>
      <c r="AI37" s="226" t="s">
        <v>371</v>
      </c>
      <c r="AJ37" s="226" t="s">
        <v>372</v>
      </c>
      <c r="AK37" s="226" t="s">
        <v>373</v>
      </c>
      <c r="AL37" s="226" t="s">
        <v>413</v>
      </c>
    </row>
    <row r="38" spans="1:38" x14ac:dyDescent="0.2">
      <c r="A38" s="20" t="s">
        <v>434</v>
      </c>
      <c r="B38" s="124" t="s">
        <v>400</v>
      </c>
      <c r="C38" s="5">
        <v>0</v>
      </c>
      <c r="D38" s="13">
        <f>AVERAGE(D9,D10,D12)</f>
        <v>185</v>
      </c>
      <c r="E38" s="13">
        <f>AVERAGE(E9:E11,E12:E13)</f>
        <v>353</v>
      </c>
      <c r="F38" s="13">
        <f>AVERAGE(F9:F11,F12:F15)</f>
        <v>470.71428571428572</v>
      </c>
      <c r="G38" s="13">
        <f>AVERAGE(G9:G11,G12:G15)</f>
        <v>608.57142857142856</v>
      </c>
      <c r="H38" s="13">
        <f>AVERAGE(H9:H11,H12:H15)</f>
        <v>70</v>
      </c>
      <c r="I38" s="219">
        <f t="shared" si="4"/>
        <v>0</v>
      </c>
      <c r="J38" s="219">
        <f t="shared" si="4"/>
        <v>411.11111111111109</v>
      </c>
      <c r="K38" s="219">
        <f t="shared" si="4"/>
        <v>784.44444444444446</v>
      </c>
      <c r="L38" s="219">
        <f t="shared" si="4"/>
        <v>1046.031746031746</v>
      </c>
      <c r="M38" s="219">
        <f t="shared" si="4"/>
        <v>1352.3809523809523</v>
      </c>
      <c r="N38" s="219">
        <f t="shared" si="4"/>
        <v>155.55555555555554</v>
      </c>
      <c r="O38" s="32">
        <f t="shared" ref="O38:T41" si="11">_xlfn.IFNA(C38/$P$1,0)</f>
        <v>0</v>
      </c>
      <c r="P38" s="32">
        <f t="shared" si="11"/>
        <v>462.5</v>
      </c>
      <c r="Q38" s="32">
        <f t="shared" si="11"/>
        <v>882.5</v>
      </c>
      <c r="R38" s="32">
        <f t="shared" si="11"/>
        <v>1176.7857142857142</v>
      </c>
      <c r="S38" s="32">
        <f t="shared" si="11"/>
        <v>1521.4285714285713</v>
      </c>
      <c r="T38" s="32">
        <f t="shared" si="11"/>
        <v>175</v>
      </c>
      <c r="U38" s="32">
        <f t="shared" ref="U38:Z41" si="12">_xlfn.IFNA(C38/$V$1,0)</f>
        <v>0</v>
      </c>
      <c r="V38" s="32">
        <f t="shared" si="12"/>
        <v>528.57142857142856</v>
      </c>
      <c r="W38" s="32">
        <f t="shared" si="12"/>
        <v>1008.5714285714287</v>
      </c>
      <c r="X38" s="32">
        <f t="shared" si="12"/>
        <v>1344.8979591836735</v>
      </c>
      <c r="Y38" s="32">
        <f t="shared" si="12"/>
        <v>1738.7755102040817</v>
      </c>
      <c r="Z38" s="32">
        <f t="shared" si="12"/>
        <v>200</v>
      </c>
      <c r="AA38" s="32">
        <f t="shared" ref="AA38:AF41" si="13">_xlfn.IFNA(C38/$AB$1,0)</f>
        <v>0</v>
      </c>
      <c r="AB38" s="32">
        <f t="shared" si="13"/>
        <v>616.66666666666674</v>
      </c>
      <c r="AC38" s="32">
        <f t="shared" si="13"/>
        <v>1176.6666666666667</v>
      </c>
      <c r="AD38" s="32">
        <f t="shared" si="13"/>
        <v>1569.047619047619</v>
      </c>
      <c r="AE38" s="32">
        <f t="shared" si="13"/>
        <v>2028.5714285714287</v>
      </c>
      <c r="AF38" s="32">
        <f t="shared" si="13"/>
        <v>233.33333333333334</v>
      </c>
      <c r="AG38" s="227"/>
      <c r="AH38" s="227"/>
      <c r="AI38" s="227"/>
      <c r="AJ38" s="227"/>
      <c r="AK38" s="227"/>
      <c r="AL38" s="227"/>
    </row>
    <row r="39" spans="1:38" x14ac:dyDescent="0.2">
      <c r="B39" s="124" t="s">
        <v>414</v>
      </c>
      <c r="C39" s="13">
        <f>AVERAGE(C3:C6)</f>
        <v>0</v>
      </c>
      <c r="D39" s="13">
        <f>AVERAGE(D3:D8)</f>
        <v>0</v>
      </c>
      <c r="E39" s="13">
        <f>AVERAGE(E3:E8)</f>
        <v>0</v>
      </c>
      <c r="F39" s="13">
        <f>AVERAGE(F3:F5)</f>
        <v>381.66666666666669</v>
      </c>
      <c r="G39" s="13">
        <f>AVERAGE(G3:G5)</f>
        <v>481.66666666666669</v>
      </c>
      <c r="H39" s="13">
        <f>AVERAGE(H3:H5)</f>
        <v>70</v>
      </c>
      <c r="I39" s="219">
        <f t="shared" si="4"/>
        <v>0</v>
      </c>
      <c r="J39" s="219">
        <f t="shared" si="4"/>
        <v>0</v>
      </c>
      <c r="K39" s="219">
        <f t="shared" si="4"/>
        <v>0</v>
      </c>
      <c r="L39" s="219">
        <f t="shared" si="4"/>
        <v>848.14814814814815</v>
      </c>
      <c r="M39" s="219">
        <f t="shared" si="4"/>
        <v>1070.3703703703704</v>
      </c>
      <c r="N39" s="219">
        <f t="shared" si="4"/>
        <v>155.55555555555554</v>
      </c>
      <c r="O39" s="32">
        <f t="shared" si="11"/>
        <v>0</v>
      </c>
      <c r="P39" s="32">
        <f t="shared" si="11"/>
        <v>0</v>
      </c>
      <c r="Q39" s="32">
        <f t="shared" si="11"/>
        <v>0</v>
      </c>
      <c r="R39" s="32">
        <f t="shared" si="11"/>
        <v>954.16666666666663</v>
      </c>
      <c r="S39" s="32">
        <f t="shared" si="11"/>
        <v>1204.1666666666667</v>
      </c>
      <c r="T39" s="32">
        <f t="shared" si="11"/>
        <v>175</v>
      </c>
      <c r="U39" s="32">
        <f t="shared" si="12"/>
        <v>0</v>
      </c>
      <c r="V39" s="32">
        <f t="shared" si="12"/>
        <v>0</v>
      </c>
      <c r="W39" s="32">
        <f t="shared" si="12"/>
        <v>0</v>
      </c>
      <c r="X39" s="32">
        <f t="shared" si="12"/>
        <v>1090.4761904761906</v>
      </c>
      <c r="Y39" s="32">
        <f t="shared" si="12"/>
        <v>1376.1904761904764</v>
      </c>
      <c r="Z39" s="32">
        <f t="shared" si="12"/>
        <v>200</v>
      </c>
      <c r="AA39" s="32">
        <f t="shared" si="13"/>
        <v>0</v>
      </c>
      <c r="AB39" s="32">
        <f t="shared" si="13"/>
        <v>0</v>
      </c>
      <c r="AC39" s="32">
        <f t="shared" si="13"/>
        <v>0</v>
      </c>
      <c r="AD39" s="32">
        <f t="shared" si="13"/>
        <v>1272.2222222222224</v>
      </c>
      <c r="AE39" s="32">
        <f t="shared" si="13"/>
        <v>1605.5555555555557</v>
      </c>
      <c r="AF39" s="32">
        <f t="shared" si="13"/>
        <v>233.33333333333334</v>
      </c>
      <c r="AG39" s="227"/>
      <c r="AH39" s="227"/>
      <c r="AI39" s="227"/>
      <c r="AJ39" s="227"/>
      <c r="AK39" s="227"/>
      <c r="AL39" s="227"/>
    </row>
    <row r="40" spans="1:38" x14ac:dyDescent="0.2">
      <c r="B40" s="124" t="s">
        <v>426</v>
      </c>
      <c r="C40" s="5">
        <f>IFERROR(AVERAGE(C18:C20),0)</f>
        <v>0</v>
      </c>
      <c r="D40" s="5">
        <f>IFERROR(AVERAGE(D18:D19),0)</f>
        <v>0</v>
      </c>
      <c r="E40" s="5">
        <f t="shared" ref="E40:H40" si="14">IFERROR(AVERAGE(E18:E20),0)</f>
        <v>90</v>
      </c>
      <c r="F40" s="5">
        <f t="shared" si="14"/>
        <v>105</v>
      </c>
      <c r="G40" s="5">
        <f>IFERROR(AVERAGE(G18:G19),0)</f>
        <v>57.5</v>
      </c>
      <c r="H40" s="5">
        <f t="shared" si="14"/>
        <v>0</v>
      </c>
      <c r="I40" s="219">
        <f t="shared" si="4"/>
        <v>0</v>
      </c>
      <c r="J40" s="219">
        <f t="shared" si="4"/>
        <v>0</v>
      </c>
      <c r="K40" s="219">
        <f t="shared" si="4"/>
        <v>200</v>
      </c>
      <c r="L40" s="219">
        <f t="shared" si="4"/>
        <v>233.33333333333331</v>
      </c>
      <c r="M40" s="219">
        <f t="shared" si="4"/>
        <v>127.77777777777777</v>
      </c>
      <c r="N40" s="219">
        <f t="shared" si="4"/>
        <v>0</v>
      </c>
      <c r="O40" s="32">
        <f t="shared" si="11"/>
        <v>0</v>
      </c>
      <c r="P40" s="32">
        <f t="shared" si="11"/>
        <v>0</v>
      </c>
      <c r="Q40" s="32">
        <f t="shared" si="11"/>
        <v>225</v>
      </c>
      <c r="R40" s="32">
        <f t="shared" si="11"/>
        <v>262.5</v>
      </c>
      <c r="S40" s="32">
        <f t="shared" si="11"/>
        <v>143.75</v>
      </c>
      <c r="T40" s="32">
        <f t="shared" si="11"/>
        <v>0</v>
      </c>
      <c r="U40" s="32">
        <f t="shared" si="12"/>
        <v>0</v>
      </c>
      <c r="V40" s="32">
        <f t="shared" si="12"/>
        <v>0</v>
      </c>
      <c r="W40" s="32">
        <f t="shared" si="12"/>
        <v>257.14285714285717</v>
      </c>
      <c r="X40" s="32">
        <f t="shared" si="12"/>
        <v>300</v>
      </c>
      <c r="Y40" s="32">
        <f t="shared" si="12"/>
        <v>164.28571428571431</v>
      </c>
      <c r="Z40" s="32">
        <f t="shared" si="12"/>
        <v>0</v>
      </c>
      <c r="AA40" s="32">
        <f t="shared" si="13"/>
        <v>0</v>
      </c>
      <c r="AB40" s="32">
        <f t="shared" si="13"/>
        <v>0</v>
      </c>
      <c r="AC40" s="32">
        <f t="shared" si="13"/>
        <v>300</v>
      </c>
      <c r="AD40" s="32">
        <f t="shared" si="13"/>
        <v>350</v>
      </c>
      <c r="AE40" s="32">
        <f t="shared" si="13"/>
        <v>191.66666666666669</v>
      </c>
      <c r="AF40" s="32">
        <f t="shared" si="13"/>
        <v>0</v>
      </c>
      <c r="AG40" s="227"/>
      <c r="AH40" s="227"/>
      <c r="AI40" s="227"/>
      <c r="AJ40" s="227"/>
      <c r="AK40" s="227"/>
      <c r="AL40" s="227"/>
    </row>
    <row r="41" spans="1:38" x14ac:dyDescent="0.2">
      <c r="B41" s="124" t="s">
        <v>374</v>
      </c>
      <c r="C41" s="13">
        <f>AVERAGE(C21:C25)</f>
        <v>33.200000000000003</v>
      </c>
      <c r="D41" s="13">
        <f t="shared" ref="D41:G41" si="15">AVERAGE(D21:D25)</f>
        <v>0</v>
      </c>
      <c r="E41" s="13">
        <f t="shared" si="15"/>
        <v>0</v>
      </c>
      <c r="F41" s="13">
        <f t="shared" si="15"/>
        <v>0</v>
      </c>
      <c r="G41" s="13">
        <f t="shared" si="15"/>
        <v>0</v>
      </c>
      <c r="H41" s="13">
        <f>AVERAGE(H21:H25)</f>
        <v>0</v>
      </c>
      <c r="I41" s="219">
        <f t="shared" si="4"/>
        <v>73.777777777777786</v>
      </c>
      <c r="J41" s="219">
        <f t="shared" si="4"/>
        <v>0</v>
      </c>
      <c r="K41" s="219">
        <f t="shared" si="4"/>
        <v>0</v>
      </c>
      <c r="L41" s="219">
        <f t="shared" si="4"/>
        <v>0</v>
      </c>
      <c r="M41" s="219">
        <f t="shared" si="4"/>
        <v>0</v>
      </c>
      <c r="N41" s="219">
        <f t="shared" si="4"/>
        <v>0</v>
      </c>
      <c r="O41" s="32">
        <f t="shared" si="11"/>
        <v>83</v>
      </c>
      <c r="P41" s="32">
        <f t="shared" si="11"/>
        <v>0</v>
      </c>
      <c r="Q41" s="32">
        <f t="shared" si="11"/>
        <v>0</v>
      </c>
      <c r="R41" s="32">
        <f t="shared" si="11"/>
        <v>0</v>
      </c>
      <c r="S41" s="32">
        <f t="shared" si="11"/>
        <v>0</v>
      </c>
      <c r="T41" s="32">
        <f t="shared" si="11"/>
        <v>0</v>
      </c>
      <c r="U41" s="32">
        <f t="shared" si="12"/>
        <v>94.857142857142875</v>
      </c>
      <c r="V41" s="32">
        <f t="shared" si="12"/>
        <v>0</v>
      </c>
      <c r="W41" s="32">
        <f t="shared" si="12"/>
        <v>0</v>
      </c>
      <c r="X41" s="32">
        <f t="shared" si="12"/>
        <v>0</v>
      </c>
      <c r="Y41" s="32">
        <f t="shared" si="12"/>
        <v>0</v>
      </c>
      <c r="Z41" s="32">
        <f t="shared" si="12"/>
        <v>0</v>
      </c>
      <c r="AA41" s="32">
        <f t="shared" si="13"/>
        <v>110.66666666666669</v>
      </c>
      <c r="AB41" s="32">
        <f t="shared" si="13"/>
        <v>0</v>
      </c>
      <c r="AC41" s="32">
        <f t="shared" si="13"/>
        <v>0</v>
      </c>
      <c r="AD41" s="32">
        <f t="shared" si="13"/>
        <v>0</v>
      </c>
      <c r="AE41" s="32">
        <f t="shared" si="13"/>
        <v>0</v>
      </c>
      <c r="AF41" s="32">
        <f t="shared" si="13"/>
        <v>0</v>
      </c>
      <c r="AG41" s="227"/>
      <c r="AH41" s="227"/>
      <c r="AI41" s="227"/>
      <c r="AJ41" s="227"/>
      <c r="AK41" s="227"/>
      <c r="AL41" s="227"/>
    </row>
    <row r="42" spans="1:38" x14ac:dyDescent="0.2">
      <c r="E42" s="5"/>
      <c r="F42" s="32"/>
      <c r="G42" s="32"/>
      <c r="H42" s="32"/>
      <c r="I42" s="32"/>
      <c r="J42" s="5"/>
      <c r="K42" s="26"/>
      <c r="L42" s="26"/>
      <c r="AG42" s="311" t="s">
        <v>719</v>
      </c>
      <c r="AH42" s="311"/>
      <c r="AI42" s="311"/>
      <c r="AJ42" s="311"/>
    </row>
    <row r="43" spans="1:38" x14ac:dyDescent="0.2">
      <c r="E43" s="5"/>
      <c r="F43" s="32"/>
      <c r="G43" s="32"/>
      <c r="H43" s="32"/>
      <c r="I43" s="32"/>
      <c r="J43" s="5"/>
      <c r="K43" s="26"/>
      <c r="L43" s="26"/>
      <c r="AG43" s="2"/>
      <c r="AH43" s="312" t="s">
        <v>728</v>
      </c>
      <c r="AI43" s="312"/>
      <c r="AJ43" s="312"/>
    </row>
    <row r="44" spans="1:38" x14ac:dyDescent="0.2">
      <c r="E44" s="5"/>
      <c r="F44" s="32"/>
      <c r="G44" s="32"/>
      <c r="H44" s="32"/>
      <c r="I44" s="32"/>
      <c r="J44" s="5"/>
      <c r="K44" s="26"/>
      <c r="L44" s="26"/>
      <c r="AG44" s="2" t="s">
        <v>727</v>
      </c>
      <c r="AH44" s="234" t="s">
        <v>707</v>
      </c>
      <c r="AI44" s="234" t="s">
        <v>710</v>
      </c>
      <c r="AJ44" s="234" t="s">
        <v>711</v>
      </c>
    </row>
    <row r="45" spans="1:38" x14ac:dyDescent="0.2">
      <c r="E45" s="5"/>
      <c r="F45" s="32"/>
      <c r="G45" s="32"/>
      <c r="H45" s="32"/>
      <c r="I45" s="32"/>
      <c r="J45" s="5"/>
      <c r="K45" s="26"/>
      <c r="L45" s="26"/>
      <c r="AG45" s="2" t="s">
        <v>724</v>
      </c>
      <c r="AH45" s="234" t="s">
        <v>712</v>
      </c>
      <c r="AI45" s="234" t="s">
        <v>715</v>
      </c>
      <c r="AJ45" s="234" t="s">
        <v>716</v>
      </c>
    </row>
    <row r="46" spans="1:38" x14ac:dyDescent="0.2">
      <c r="E46" s="5"/>
      <c r="F46" s="32"/>
      <c r="G46" s="32"/>
      <c r="H46" s="32"/>
      <c r="I46" s="32"/>
      <c r="J46" s="5"/>
      <c r="K46" s="26"/>
      <c r="L46" s="26"/>
      <c r="AG46" s="2" t="s">
        <v>725</v>
      </c>
      <c r="AH46" s="234" t="s">
        <v>713</v>
      </c>
      <c r="AI46" s="234">
        <v>420</v>
      </c>
      <c r="AJ46" s="234" t="s">
        <v>717</v>
      </c>
    </row>
    <row r="47" spans="1:38" x14ac:dyDescent="0.2">
      <c r="E47" s="5"/>
      <c r="F47" s="32"/>
      <c r="G47" s="32"/>
      <c r="H47" s="32"/>
      <c r="I47" s="32"/>
      <c r="J47" s="5"/>
      <c r="K47" s="26"/>
      <c r="L47" s="26"/>
      <c r="AG47" s="2" t="s">
        <v>726</v>
      </c>
      <c r="AH47" s="234" t="s">
        <v>714</v>
      </c>
      <c r="AI47" s="234">
        <v>320</v>
      </c>
      <c r="AJ47" s="234" t="s">
        <v>718</v>
      </c>
    </row>
    <row r="48" spans="1:38" x14ac:dyDescent="0.2">
      <c r="E48" s="5"/>
      <c r="F48" s="32"/>
      <c r="G48" s="32"/>
      <c r="H48" s="32"/>
      <c r="I48" s="32"/>
      <c r="J48" s="5"/>
      <c r="K48" s="26"/>
      <c r="L48" s="26"/>
      <c r="AG48" s="2" t="s">
        <v>708</v>
      </c>
      <c r="AH48" s="235">
        <v>400</v>
      </c>
      <c r="AI48" s="234">
        <v>420</v>
      </c>
      <c r="AJ48" s="234">
        <v>400</v>
      </c>
    </row>
    <row r="49" spans="5:36" x14ac:dyDescent="0.2">
      <c r="E49" s="5"/>
      <c r="F49" s="32"/>
      <c r="G49" s="32"/>
      <c r="H49" s="32"/>
      <c r="I49" s="32"/>
      <c r="J49" s="5"/>
      <c r="K49" s="26"/>
      <c r="L49" s="26"/>
      <c r="AG49" s="2" t="s">
        <v>709</v>
      </c>
      <c r="AH49" s="235">
        <v>280</v>
      </c>
      <c r="AI49" s="234">
        <v>320</v>
      </c>
      <c r="AJ49" s="234">
        <v>300</v>
      </c>
    </row>
    <row r="50" spans="5:36" x14ac:dyDescent="0.2">
      <c r="E50" s="5"/>
      <c r="F50" s="32"/>
      <c r="G50" s="32"/>
      <c r="H50" s="32"/>
      <c r="I50" s="32"/>
      <c r="J50" s="5"/>
      <c r="K50" s="26"/>
      <c r="L50" s="26"/>
    </row>
    <row r="51" spans="5:36" x14ac:dyDescent="0.2">
      <c r="E51" s="5"/>
      <c r="F51" s="32"/>
      <c r="G51" s="32"/>
      <c r="H51" s="32"/>
      <c r="I51" s="32"/>
      <c r="J51" s="5"/>
      <c r="K51" s="26"/>
      <c r="L51" s="26"/>
    </row>
    <row r="52" spans="5:36" x14ac:dyDescent="0.2">
      <c r="E52" s="5"/>
      <c r="F52" s="32"/>
      <c r="G52" s="32"/>
      <c r="H52" s="32"/>
      <c r="I52" s="32"/>
      <c r="J52" s="5"/>
      <c r="K52" s="26"/>
      <c r="L52" s="26"/>
      <c r="AG52" s="32"/>
      <c r="AH52" s="5"/>
      <c r="AI52" s="26"/>
      <c r="AJ52" s="26"/>
    </row>
    <row r="53" spans="5:36" x14ac:dyDescent="0.2">
      <c r="E53" s="5"/>
      <c r="F53" s="32"/>
      <c r="G53" s="32"/>
      <c r="H53" s="32"/>
      <c r="I53" s="32"/>
      <c r="J53" s="5"/>
      <c r="K53" s="26"/>
      <c r="L53" s="26"/>
      <c r="AG53" s="32"/>
      <c r="AH53" s="5"/>
      <c r="AI53" s="26"/>
      <c r="AJ53" s="26"/>
    </row>
    <row r="54" spans="5:36" x14ac:dyDescent="0.2">
      <c r="E54" s="5"/>
      <c r="F54" s="32"/>
      <c r="G54" s="32"/>
      <c r="H54" s="32"/>
      <c r="I54" s="32"/>
      <c r="J54" s="5"/>
      <c r="K54" s="26"/>
      <c r="L54" s="26"/>
      <c r="AG54" s="32"/>
      <c r="AH54" s="5"/>
      <c r="AI54" s="26"/>
      <c r="AJ54" s="26"/>
    </row>
    <row r="55" spans="5:36" x14ac:dyDescent="0.2">
      <c r="E55" s="5"/>
      <c r="F55" s="32"/>
      <c r="G55" s="32"/>
      <c r="H55" s="32"/>
      <c r="I55" s="32"/>
      <c r="J55" s="5"/>
      <c r="K55" s="26"/>
      <c r="L55" s="26"/>
      <c r="AG55" s="32"/>
      <c r="AH55" s="5"/>
      <c r="AI55" s="26"/>
      <c r="AJ55" s="26"/>
    </row>
    <row r="56" spans="5:36" x14ac:dyDescent="0.2">
      <c r="E56" s="5"/>
      <c r="F56" s="32"/>
      <c r="G56" s="32"/>
      <c r="H56" s="32"/>
      <c r="I56" s="32"/>
      <c r="J56" s="5"/>
      <c r="K56" s="26"/>
      <c r="L56" s="26"/>
      <c r="AG56" s="32"/>
      <c r="AH56" s="5"/>
      <c r="AI56" s="26"/>
      <c r="AJ56" s="26"/>
    </row>
    <row r="57" spans="5:36" x14ac:dyDescent="0.2">
      <c r="E57" s="5"/>
      <c r="F57" s="32"/>
      <c r="G57" s="32"/>
      <c r="H57" s="32"/>
      <c r="I57" s="32"/>
      <c r="J57" s="5"/>
      <c r="K57" s="26"/>
      <c r="L57" s="26"/>
      <c r="AG57" s="32"/>
      <c r="AH57" s="5"/>
      <c r="AI57" s="26"/>
      <c r="AJ57" s="26"/>
    </row>
    <row r="58" spans="5:36" x14ac:dyDescent="0.2">
      <c r="E58" s="5"/>
      <c r="F58" s="32"/>
      <c r="G58" s="32"/>
      <c r="H58" s="32"/>
      <c r="I58" s="32"/>
      <c r="J58" s="5"/>
      <c r="K58" s="26"/>
      <c r="L58" s="26"/>
      <c r="AG58" s="32"/>
      <c r="AH58" s="5"/>
      <c r="AI58" s="26"/>
      <c r="AJ58" s="26"/>
    </row>
    <row r="59" spans="5:36" x14ac:dyDescent="0.2">
      <c r="E59" s="5"/>
      <c r="F59" s="32"/>
      <c r="G59" s="32"/>
      <c r="H59" s="32"/>
      <c r="I59" s="32"/>
      <c r="J59" s="5"/>
      <c r="K59" s="26"/>
      <c r="L59" s="26"/>
      <c r="AG59" s="32"/>
      <c r="AH59" s="5"/>
      <c r="AI59" s="26"/>
      <c r="AJ59" s="26"/>
    </row>
    <row r="60" spans="5:36" x14ac:dyDescent="0.2">
      <c r="E60" s="5"/>
      <c r="F60" s="32"/>
      <c r="G60" s="32"/>
      <c r="H60" s="32"/>
      <c r="I60" s="32"/>
      <c r="J60" s="5"/>
      <c r="K60" s="26"/>
      <c r="L60" s="26"/>
      <c r="AG60" s="32"/>
      <c r="AH60" s="5"/>
      <c r="AI60" s="26"/>
      <c r="AJ60" s="26"/>
    </row>
    <row r="61" spans="5:36" x14ac:dyDescent="0.2">
      <c r="E61" s="5"/>
      <c r="F61" s="32"/>
      <c r="G61" s="32"/>
      <c r="H61" s="32"/>
      <c r="I61" s="32"/>
      <c r="J61" s="5"/>
      <c r="K61" s="26"/>
      <c r="L61" s="26"/>
      <c r="AG61" s="32"/>
      <c r="AH61" s="5"/>
      <c r="AI61" s="26"/>
      <c r="AJ61" s="26"/>
    </row>
    <row r="62" spans="5:36" x14ac:dyDescent="0.2">
      <c r="E62" s="5"/>
      <c r="F62" s="32"/>
      <c r="G62" s="32"/>
      <c r="H62" s="32"/>
      <c r="I62" s="32"/>
      <c r="J62" s="5"/>
      <c r="K62" s="26"/>
      <c r="L62" s="26"/>
      <c r="AG62" s="32"/>
      <c r="AH62" s="5"/>
      <c r="AI62" s="26"/>
      <c r="AJ62" s="26"/>
    </row>
    <row r="63" spans="5:36" x14ac:dyDescent="0.2">
      <c r="E63" s="5"/>
      <c r="F63" s="32"/>
      <c r="G63" s="32"/>
      <c r="H63" s="32"/>
      <c r="I63" s="32"/>
      <c r="J63" s="5"/>
      <c r="K63" s="26"/>
      <c r="L63" s="26"/>
      <c r="AG63" s="32"/>
      <c r="AH63" s="5"/>
      <c r="AI63" s="26"/>
      <c r="AJ63" s="26"/>
    </row>
    <row r="64" spans="5:36" x14ac:dyDescent="0.2">
      <c r="E64" s="5"/>
      <c r="F64" s="32"/>
      <c r="G64" s="32"/>
      <c r="H64" s="32"/>
      <c r="I64" s="32"/>
      <c r="J64" s="5"/>
      <c r="K64" s="26"/>
      <c r="L64" s="26"/>
      <c r="AG64" s="32"/>
      <c r="AH64" s="5"/>
      <c r="AI64" s="26"/>
      <c r="AJ64" s="26"/>
    </row>
    <row r="65" spans="5:36" x14ac:dyDescent="0.2">
      <c r="E65" s="5"/>
      <c r="F65" s="32"/>
      <c r="G65" s="32"/>
      <c r="H65" s="32"/>
      <c r="I65" s="32"/>
      <c r="J65" s="5"/>
      <c r="K65" s="26"/>
      <c r="L65" s="26"/>
      <c r="AG65" s="32"/>
      <c r="AH65" s="5"/>
      <c r="AI65" s="26"/>
      <c r="AJ65" s="26"/>
    </row>
    <row r="66" spans="5:36" x14ac:dyDescent="0.2">
      <c r="E66" s="5"/>
      <c r="F66" s="32"/>
      <c r="G66" s="32"/>
      <c r="H66" s="32"/>
      <c r="I66" s="32"/>
      <c r="J66" s="5"/>
      <c r="K66" s="26"/>
      <c r="L66" s="26"/>
      <c r="AG66" s="32"/>
      <c r="AH66" s="5"/>
      <c r="AI66" s="26"/>
      <c r="AJ66" s="26"/>
    </row>
    <row r="67" spans="5:36" x14ac:dyDescent="0.2">
      <c r="E67" s="5"/>
      <c r="F67" s="32"/>
      <c r="G67" s="32"/>
      <c r="H67" s="32"/>
      <c r="I67" s="32"/>
      <c r="J67" s="5"/>
      <c r="K67" s="26"/>
      <c r="L67" s="26"/>
      <c r="AG67" s="32"/>
      <c r="AH67" s="5"/>
      <c r="AI67" s="26"/>
      <c r="AJ67" s="26"/>
    </row>
    <row r="68" spans="5:36" x14ac:dyDescent="0.2">
      <c r="E68" s="5"/>
      <c r="F68" s="32"/>
      <c r="G68" s="32"/>
      <c r="H68" s="32"/>
      <c r="I68" s="32"/>
      <c r="J68" s="5"/>
      <c r="K68" s="26"/>
      <c r="L68" s="26"/>
      <c r="AG68" s="32"/>
      <c r="AH68" s="5"/>
      <c r="AI68" s="26"/>
      <c r="AJ68" s="26"/>
    </row>
    <row r="69" spans="5:36" x14ac:dyDescent="0.2">
      <c r="E69" s="5"/>
      <c r="F69" s="32"/>
      <c r="G69" s="32"/>
      <c r="H69" s="32"/>
      <c r="I69" s="32"/>
      <c r="J69" s="5"/>
      <c r="K69" s="26"/>
      <c r="L69" s="26"/>
      <c r="AG69" s="32"/>
      <c r="AH69" s="5"/>
      <c r="AI69" s="26"/>
      <c r="AJ69" s="26"/>
    </row>
    <row r="70" spans="5:36" x14ac:dyDescent="0.2">
      <c r="E70" s="5"/>
      <c r="F70" s="32"/>
      <c r="G70" s="32"/>
      <c r="H70" s="32"/>
      <c r="I70" s="32"/>
      <c r="J70" s="5"/>
      <c r="K70" s="26"/>
      <c r="L70" s="26"/>
      <c r="AG70" s="32"/>
      <c r="AH70" s="5"/>
      <c r="AI70" s="26"/>
      <c r="AJ70" s="26"/>
    </row>
    <row r="71" spans="5:36" x14ac:dyDescent="0.2">
      <c r="E71" s="5"/>
      <c r="F71" s="32"/>
      <c r="G71" s="32"/>
      <c r="H71" s="32"/>
      <c r="I71" s="32"/>
      <c r="J71" s="5"/>
      <c r="K71" s="26"/>
      <c r="L71" s="26"/>
      <c r="AG71" s="32"/>
      <c r="AH71" s="5"/>
      <c r="AI71" s="26"/>
      <c r="AJ71" s="26"/>
    </row>
    <row r="72" spans="5:36" x14ac:dyDescent="0.2">
      <c r="E72" s="5"/>
      <c r="F72" s="32"/>
      <c r="G72" s="32"/>
      <c r="H72" s="32"/>
      <c r="I72" s="32"/>
      <c r="J72" s="5"/>
      <c r="K72" s="26"/>
      <c r="L72" s="26"/>
      <c r="AG72" s="32"/>
      <c r="AH72" s="5"/>
      <c r="AI72" s="26"/>
      <c r="AJ72" s="26"/>
    </row>
    <row r="73" spans="5:36" x14ac:dyDescent="0.2">
      <c r="E73" s="5"/>
      <c r="F73" s="32"/>
      <c r="G73" s="32"/>
      <c r="H73" s="32"/>
      <c r="I73" s="32"/>
      <c r="J73" s="5"/>
      <c r="K73" s="26"/>
      <c r="L73" s="26"/>
      <c r="AG73" s="32"/>
      <c r="AH73" s="5"/>
      <c r="AI73" s="26"/>
      <c r="AJ73" s="26"/>
    </row>
    <row r="74" spans="5:36" x14ac:dyDescent="0.2">
      <c r="E74" s="5"/>
      <c r="F74" s="32"/>
      <c r="G74" s="32"/>
      <c r="H74" s="32"/>
      <c r="I74" s="32"/>
      <c r="J74" s="5"/>
      <c r="K74" s="26"/>
      <c r="L74" s="26"/>
      <c r="AG74" s="32"/>
      <c r="AH74" s="5"/>
      <c r="AI74" s="26"/>
      <c r="AJ74" s="26"/>
    </row>
    <row r="75" spans="5:36" x14ac:dyDescent="0.2">
      <c r="E75" s="5"/>
      <c r="F75" s="32"/>
      <c r="G75" s="32"/>
      <c r="H75" s="32"/>
      <c r="I75" s="32"/>
      <c r="J75" s="5"/>
      <c r="K75" s="26"/>
      <c r="L75" s="26"/>
      <c r="AG75" s="32"/>
      <c r="AH75" s="5"/>
      <c r="AI75" s="26"/>
      <c r="AJ75" s="26"/>
    </row>
    <row r="76" spans="5:36" x14ac:dyDescent="0.2">
      <c r="E76" s="5"/>
      <c r="F76" s="32"/>
      <c r="G76" s="32"/>
      <c r="H76" s="32"/>
      <c r="I76" s="32"/>
      <c r="J76" s="5"/>
      <c r="K76" s="26"/>
      <c r="L76" s="26"/>
      <c r="AG76" s="32"/>
      <c r="AH76" s="5"/>
      <c r="AI76" s="26"/>
      <c r="AJ76" s="26"/>
    </row>
    <row r="77" spans="5:36" x14ac:dyDescent="0.2">
      <c r="E77" s="5"/>
      <c r="F77" s="32"/>
      <c r="G77" s="32"/>
      <c r="H77" s="32"/>
      <c r="I77" s="32"/>
      <c r="J77" s="5"/>
      <c r="K77" s="26"/>
      <c r="L77" s="26"/>
      <c r="AG77" s="32"/>
      <c r="AH77" s="5"/>
      <c r="AI77" s="26"/>
      <c r="AJ77" s="26"/>
    </row>
    <row r="78" spans="5:36" x14ac:dyDescent="0.2">
      <c r="E78" s="5"/>
      <c r="F78" s="32"/>
      <c r="G78" s="32"/>
      <c r="H78" s="32"/>
      <c r="I78" s="32"/>
      <c r="J78" s="5"/>
      <c r="K78" s="26"/>
      <c r="L78" s="26"/>
      <c r="AG78" s="32"/>
      <c r="AH78" s="5"/>
      <c r="AI78" s="26"/>
      <c r="AJ78" s="26"/>
    </row>
    <row r="79" spans="5:36" x14ac:dyDescent="0.2">
      <c r="E79" s="5"/>
      <c r="F79" s="32"/>
      <c r="G79" s="32"/>
      <c r="H79" s="32"/>
      <c r="I79" s="32"/>
      <c r="J79" s="5"/>
      <c r="K79" s="26"/>
      <c r="L79" s="26"/>
      <c r="AG79" s="32"/>
      <c r="AH79" s="5"/>
      <c r="AI79" s="26"/>
      <c r="AJ79" s="26"/>
    </row>
    <row r="80" spans="5:36" x14ac:dyDescent="0.2">
      <c r="E80" s="5"/>
      <c r="F80" s="32"/>
      <c r="G80" s="32"/>
      <c r="H80" s="32"/>
      <c r="I80" s="32"/>
      <c r="J80" s="5"/>
      <c r="K80" s="26"/>
      <c r="L80" s="26"/>
      <c r="AG80" s="32"/>
      <c r="AH80" s="5"/>
      <c r="AI80" s="26"/>
      <c r="AJ80" s="26"/>
    </row>
    <row r="81" spans="5:36" x14ac:dyDescent="0.2">
      <c r="E81" s="5"/>
      <c r="F81" s="32"/>
      <c r="G81" s="32"/>
      <c r="H81" s="32"/>
      <c r="I81" s="32"/>
      <c r="J81" s="5"/>
      <c r="K81" s="26"/>
      <c r="L81" s="26"/>
      <c r="AG81" s="32"/>
      <c r="AH81" s="5"/>
      <c r="AI81" s="26"/>
      <c r="AJ81" s="26"/>
    </row>
    <row r="82" spans="5:36" x14ac:dyDescent="0.2">
      <c r="E82" s="5"/>
      <c r="F82" s="32"/>
      <c r="G82" s="32"/>
      <c r="H82" s="32"/>
      <c r="I82" s="32"/>
      <c r="J82" s="5"/>
      <c r="K82" s="26"/>
      <c r="L82" s="26"/>
      <c r="AG82" s="32"/>
      <c r="AH82" s="5"/>
      <c r="AI82" s="26"/>
      <c r="AJ82" s="26"/>
    </row>
    <row r="83" spans="5:36" x14ac:dyDescent="0.2">
      <c r="E83" s="5"/>
      <c r="F83" s="32"/>
      <c r="G83" s="32"/>
      <c r="H83" s="32"/>
      <c r="I83" s="32"/>
      <c r="J83" s="5"/>
      <c r="K83" s="26"/>
      <c r="L83" s="26"/>
      <c r="AG83" s="32"/>
      <c r="AH83" s="5"/>
      <c r="AI83" s="26"/>
      <c r="AJ83" s="26"/>
    </row>
    <row r="84" spans="5:36" x14ac:dyDescent="0.2">
      <c r="E84" s="13"/>
      <c r="F84" s="32"/>
      <c r="G84" s="32"/>
      <c r="H84" s="32"/>
      <c r="I84" s="32"/>
      <c r="J84" s="5"/>
      <c r="K84" s="26"/>
      <c r="L84" s="26"/>
      <c r="AG84" s="32"/>
      <c r="AH84" s="5"/>
      <c r="AI84" s="26"/>
      <c r="AJ84" s="26"/>
    </row>
    <row r="85" spans="5:36" x14ac:dyDescent="0.2">
      <c r="E85" s="13"/>
      <c r="F85" s="32"/>
      <c r="G85" s="32"/>
      <c r="H85" s="32"/>
      <c r="I85" s="32"/>
      <c r="J85" s="5"/>
      <c r="K85" s="26"/>
      <c r="L85" s="26"/>
      <c r="AG85" s="32"/>
      <c r="AH85" s="5"/>
      <c r="AI85" s="26"/>
      <c r="AJ85" s="26"/>
    </row>
    <row r="86" spans="5:36" x14ac:dyDescent="0.2">
      <c r="E86" s="13"/>
      <c r="F86" s="32"/>
      <c r="G86" s="32"/>
      <c r="H86" s="32"/>
      <c r="I86" s="32"/>
      <c r="J86" s="5"/>
      <c r="K86" s="26"/>
      <c r="L86" s="26"/>
      <c r="AG86" s="32"/>
      <c r="AH86" s="5"/>
      <c r="AI86" s="26"/>
      <c r="AJ86" s="26"/>
    </row>
    <row r="87" spans="5:36" x14ac:dyDescent="0.2">
      <c r="E87" s="13"/>
      <c r="F87" s="32"/>
      <c r="G87" s="32"/>
      <c r="H87" s="32"/>
      <c r="I87" s="32"/>
      <c r="J87" s="5"/>
      <c r="K87" s="26"/>
      <c r="L87" s="26"/>
      <c r="AG87" s="32"/>
      <c r="AH87" s="5"/>
      <c r="AI87" s="26"/>
      <c r="AJ87" s="26"/>
    </row>
    <row r="88" spans="5:36" x14ac:dyDescent="0.2">
      <c r="E88" s="13"/>
      <c r="F88" s="32"/>
      <c r="G88" s="32"/>
      <c r="H88" s="32"/>
      <c r="I88" s="32"/>
      <c r="J88" s="5"/>
      <c r="K88" s="26"/>
      <c r="L88" s="26"/>
      <c r="AG88" s="32"/>
      <c r="AH88" s="5"/>
      <c r="AI88" s="26"/>
      <c r="AJ88" s="26"/>
    </row>
    <row r="89" spans="5:36" x14ac:dyDescent="0.2">
      <c r="E89" s="13"/>
      <c r="F89" s="32"/>
      <c r="G89" s="32"/>
      <c r="H89" s="32"/>
      <c r="I89" s="32"/>
      <c r="J89" s="5"/>
      <c r="K89" s="26"/>
      <c r="L89" s="26"/>
      <c r="AG89" s="32"/>
      <c r="AH89" s="5"/>
      <c r="AI89" s="26"/>
      <c r="AJ89" s="26"/>
    </row>
    <row r="90" spans="5:36" x14ac:dyDescent="0.2">
      <c r="E90" s="13"/>
      <c r="F90" s="32"/>
      <c r="G90" s="32"/>
      <c r="H90" s="32"/>
      <c r="I90" s="32"/>
      <c r="J90" s="5"/>
      <c r="K90" s="26"/>
      <c r="L90" s="26"/>
      <c r="AG90" s="32"/>
      <c r="AH90" s="5"/>
      <c r="AI90" s="26"/>
      <c r="AJ90" s="26"/>
    </row>
    <row r="91" spans="5:36" x14ac:dyDescent="0.2">
      <c r="F91" s="32"/>
      <c r="G91" s="32"/>
      <c r="H91" s="32"/>
      <c r="I91" s="32"/>
      <c r="J91" s="5"/>
      <c r="K91" s="26"/>
      <c r="L91" s="26"/>
      <c r="AG91" s="32"/>
      <c r="AH91" s="5"/>
      <c r="AI91" s="26"/>
      <c r="AJ91" s="26"/>
    </row>
    <row r="92" spans="5:36" x14ac:dyDescent="0.2">
      <c r="E92" s="13"/>
      <c r="F92" s="32"/>
      <c r="G92" s="32"/>
      <c r="H92" s="32"/>
      <c r="I92" s="32"/>
      <c r="J92" s="5"/>
      <c r="K92" s="26"/>
      <c r="L92" s="26"/>
      <c r="AG92" s="32"/>
      <c r="AH92" s="5"/>
      <c r="AI92" s="26"/>
      <c r="AJ92" s="26"/>
    </row>
  </sheetData>
  <mergeCells count="2">
    <mergeCell ref="AG42:AJ42"/>
    <mergeCell ref="AH43:AJ43"/>
  </mergeCells>
  <pageMargins left="0.23622047244094491" right="0.23622047244094491" top="0.74803149606299213" bottom="0.74803149606299213" header="0.31496062992125984" footer="0.31496062992125984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B6122B-F938-450A-998E-BBB5D62C73C5}">
  <sheetPr codeName="Hoja24"/>
  <dimension ref="A2:N181"/>
  <sheetViews>
    <sheetView topLeftCell="A141" zoomScale="88" zoomScaleNormal="55" workbookViewId="0">
      <selection activeCell="H181" sqref="H181"/>
    </sheetView>
  </sheetViews>
  <sheetFormatPr baseColWidth="10" defaultColWidth="11.5" defaultRowHeight="15" x14ac:dyDescent="0.2"/>
  <cols>
    <col min="1" max="1" width="24.1640625" bestFit="1" customWidth="1"/>
    <col min="2" max="2" width="23.33203125" bestFit="1" customWidth="1"/>
    <col min="3" max="3" width="16.5" bestFit="1" customWidth="1"/>
    <col min="4" max="4" width="24.33203125" bestFit="1" customWidth="1"/>
    <col min="5" max="5" width="50.6640625" hidden="1" customWidth="1"/>
    <col min="6" max="6" width="12" bestFit="1" customWidth="1"/>
    <col min="7" max="7" width="9.1640625" bestFit="1" customWidth="1"/>
    <col min="8" max="8" width="15.1640625" bestFit="1" customWidth="1"/>
    <col min="9" max="9" width="12.1640625" bestFit="1" customWidth="1"/>
    <col min="10" max="10" width="11" bestFit="1" customWidth="1"/>
    <col min="11" max="11" width="10.83203125" bestFit="1" customWidth="1"/>
    <col min="12" max="12" width="12.83203125" bestFit="1" customWidth="1"/>
  </cols>
  <sheetData>
    <row r="2" spans="1:12" x14ac:dyDescent="0.2">
      <c r="A2" t="s">
        <v>632</v>
      </c>
      <c r="B2" t="s">
        <v>0</v>
      </c>
      <c r="C2" t="s">
        <v>1</v>
      </c>
      <c r="D2" t="s">
        <v>2</v>
      </c>
      <c r="E2" t="s">
        <v>3</v>
      </c>
      <c r="F2" t="s">
        <v>4</v>
      </c>
      <c r="G2" t="s">
        <v>5</v>
      </c>
      <c r="H2" t="s">
        <v>6</v>
      </c>
      <c r="I2" t="s">
        <v>7</v>
      </c>
      <c r="J2" t="s">
        <v>8</v>
      </c>
      <c r="K2" t="s">
        <v>9</v>
      </c>
      <c r="L2" t="s">
        <v>10</v>
      </c>
    </row>
    <row r="3" spans="1:12" x14ac:dyDescent="0.2">
      <c r="A3" t="s">
        <v>11</v>
      </c>
      <c r="B3" t="s">
        <v>12</v>
      </c>
      <c r="C3" s="81">
        <v>501</v>
      </c>
      <c r="D3" t="s">
        <v>13</v>
      </c>
      <c r="E3" t="s">
        <v>14</v>
      </c>
      <c r="F3">
        <f>_xlfn.IFNA(VLOOKUP(TablaPrecios[[#This Row],[Producto]],'[1]Costo Materia Prima'!A$3:K$424,3,FALSE),"")</f>
        <v>50</v>
      </c>
      <c r="G3" t="str">
        <f>_xlfn.IFNA(VLOOKUP(TablaPrecios[[#This Row],[Producto]],'[1]Costo Materia Prima'!A$3:K$424,4,FALSE),"")</f>
        <v>KG</v>
      </c>
      <c r="H3" s="5">
        <f>_xlfn.IFNA(VLOOKUP(TablaPrecios[[#This Row],[Producto]],'[1]Costo Materia Prima'!A$3:K$424,5,FALSE),"")</f>
        <v>1020</v>
      </c>
      <c r="I3" s="5">
        <f>IFERROR(TablaPrecios[[#This Row],[Precio]]/TablaPrecios[[#This Row],[Cantidad]],0)</f>
        <v>20.399999999999999</v>
      </c>
      <c r="J3" t="str">
        <f>_xlfn.IFNA(VLOOKUP(TablaPrecios[[#This Row],[Producto]],'[1]Costo Materia Prima'!A$3:K$424,8,FALSE),"")</f>
        <v>KG</v>
      </c>
      <c r="K3" t="str">
        <f>_xlfn.IFNA(VLOOKUP(TablaPrecios[[#This Row],[Producto]],'[1]Costo Materia Prima'!A$3:K$424,9,FALSE),"-")</f>
        <v>Verificado</v>
      </c>
      <c r="L3" s="96">
        <f>_xlfn.IFNA(VLOOKUP(TablaPrecios[[#This Row],[Producto]],'[1]Costo Materia Prima'!A$3:K$424,11,FALSE),"")</f>
        <v>46042</v>
      </c>
    </row>
    <row r="4" spans="1:12" x14ac:dyDescent="0.2">
      <c r="A4" t="s">
        <v>11</v>
      </c>
      <c r="B4" t="s">
        <v>12</v>
      </c>
      <c r="C4" s="81"/>
      <c r="D4" t="s">
        <v>16</v>
      </c>
      <c r="E4" t="s">
        <v>17</v>
      </c>
      <c r="F4">
        <f>_xlfn.IFNA(VLOOKUP(TablaPrecios[[#This Row],[Producto]],'[1]Costo Materia Prima'!A$3:K$424,3,FALSE),"")</f>
        <v>0</v>
      </c>
      <c r="G4" t="str">
        <f>_xlfn.IFNA(VLOOKUP(TablaPrecios[[#This Row],[Producto]],'[1]Costo Materia Prima'!A$3:K$424,4,FALSE),"")</f>
        <v>LT</v>
      </c>
      <c r="H4" s="5">
        <f>_xlfn.IFNA(VLOOKUP(TablaPrecios[[#This Row],[Producto]],'[1]Costo Materia Prima'!A$3:K$424,5,FALSE),"")</f>
        <v>0</v>
      </c>
      <c r="I4" s="5">
        <f>IFERROR(TablaPrecios[[#This Row],[Precio]]/TablaPrecios[[#This Row],[Cantidad]],0)</f>
        <v>0</v>
      </c>
      <c r="J4" t="str">
        <f>_xlfn.IFNA(VLOOKUP(TablaPrecios[[#This Row],[Producto]],'[1]Costo Materia Prima'!A$3:K$424,8,FALSE),"")</f>
        <v>LT</v>
      </c>
      <c r="K4" t="str">
        <f>_xlfn.IFNA(VLOOKUP(TablaPrecios[[#This Row],[Producto]],'[1]Costo Materia Prima'!A$3:K$424,9,FALSE),"-")</f>
        <v>Verificado</v>
      </c>
      <c r="L4" s="96">
        <f>_xlfn.IFNA(VLOOKUP(TablaPrecios[[#This Row],[Producto]],'[1]Costo Materia Prima'!A$3:K$424,11,FALSE),"")</f>
        <v>46024</v>
      </c>
    </row>
    <row r="5" spans="1:12" x14ac:dyDescent="0.2">
      <c r="A5" t="s">
        <v>11</v>
      </c>
      <c r="B5" t="s">
        <v>12</v>
      </c>
      <c r="C5" s="81">
        <v>7501000658923</v>
      </c>
      <c r="D5" t="s">
        <v>19</v>
      </c>
      <c r="E5" t="s">
        <v>20</v>
      </c>
      <c r="F5">
        <f>_xlfn.IFNA(VLOOKUP(TablaPrecios[[#This Row],[Producto]],'[1]Costo Materia Prima'!A$3:K$424,3,FALSE),"")</f>
        <v>264</v>
      </c>
      <c r="G5" t="str">
        <f>_xlfn.IFNA(VLOOKUP(TablaPrecios[[#This Row],[Producto]],'[1]Costo Materia Prima'!A$3:K$424,4,FALSE),"")</f>
        <v>PZ</v>
      </c>
      <c r="H5" s="5">
        <f>_xlfn.IFNA(VLOOKUP(TablaPrecios[[#This Row],[Producto]],'[1]Costo Materia Prima'!A$3:K$424,5,FALSE),"")</f>
        <v>3666.96</v>
      </c>
      <c r="I5" s="5">
        <f>IFERROR(TablaPrecios[[#This Row],[Precio]]/TablaPrecios[[#This Row],[Cantidad]],0)</f>
        <v>13.89</v>
      </c>
      <c r="J5" t="str">
        <f>_xlfn.IFNA(VLOOKUP(TablaPrecios[[#This Row],[Producto]],'[1]Costo Materia Prima'!A$3:K$424,8,FALSE),"")</f>
        <v>PZ</v>
      </c>
      <c r="K5" t="str">
        <f>_xlfn.IFNA(VLOOKUP(TablaPrecios[[#This Row],[Producto]],'[1]Costo Materia Prima'!A$3:K$424,9,FALSE),"-")</f>
        <v>Verificado</v>
      </c>
      <c r="L5" s="96">
        <f>_xlfn.IFNA(VLOOKUP(TablaPrecios[[#This Row],[Producto]],'[1]Costo Materia Prima'!A$3:K$424,11,FALSE),"")</f>
        <v>46042</v>
      </c>
    </row>
    <row r="6" spans="1:12" x14ac:dyDescent="0.2">
      <c r="A6" t="s">
        <v>11</v>
      </c>
      <c r="B6" t="s">
        <v>12</v>
      </c>
      <c r="C6" s="81">
        <v>7501020515848</v>
      </c>
      <c r="D6" t="s">
        <v>22</v>
      </c>
      <c r="E6" t="s">
        <v>23</v>
      </c>
      <c r="F6">
        <f>_xlfn.IFNA(VLOOKUP(TablaPrecios[[#This Row],[Producto]],'[1]Costo Materia Prima'!A$3:K$424,3,FALSE),"")</f>
        <v>576</v>
      </c>
      <c r="G6" t="str">
        <f>_xlfn.IFNA(VLOOKUP(TablaPrecios[[#This Row],[Producto]],'[1]Costo Materia Prima'!A$3:K$424,4,FALSE),"")</f>
        <v>LT</v>
      </c>
      <c r="H6" s="5">
        <f>_xlfn.IFNA(VLOOKUP(TablaPrecios[[#This Row],[Producto]],'[1]Costo Materia Prima'!A$3:K$424,5,FALSE),"")</f>
        <v>33600</v>
      </c>
      <c r="I6" s="5">
        <f>IFERROR(TablaPrecios[[#This Row],[Precio]]/TablaPrecios[[#This Row],[Cantidad]],0)</f>
        <v>58.333333333333336</v>
      </c>
      <c r="J6" t="str">
        <f>_xlfn.IFNA(VLOOKUP(TablaPrecios[[#This Row],[Producto]],'[1]Costo Materia Prima'!A$3:K$424,8,FALSE),"")</f>
        <v>LT</v>
      </c>
      <c r="K6" t="str">
        <f>_xlfn.IFNA(VLOOKUP(TablaPrecios[[#This Row],[Producto]],'[1]Costo Materia Prima'!A$3:K$424,9,FALSE),"-")</f>
        <v>Verificado</v>
      </c>
      <c r="L6" s="96">
        <f>_xlfn.IFNA(VLOOKUP(TablaPrecios[[#This Row],[Producto]],'[1]Costo Materia Prima'!A$3:K$424,11,FALSE),"")</f>
        <v>46042</v>
      </c>
    </row>
    <row r="7" spans="1:12" x14ac:dyDescent="0.2">
      <c r="A7" t="s">
        <v>11</v>
      </c>
      <c r="B7" t="s">
        <v>12</v>
      </c>
      <c r="C7" s="81"/>
      <c r="D7" t="s">
        <v>24</v>
      </c>
      <c r="E7" t="s">
        <v>25</v>
      </c>
      <c r="F7">
        <f>_xlfn.IFNA(VLOOKUP(TablaPrecios[[#This Row],[Producto]],'[1]Costo Materia Prima'!A$3:K$424,3,FALSE),"")</f>
        <v>0</v>
      </c>
      <c r="G7" t="str">
        <f>_xlfn.IFNA(VLOOKUP(TablaPrecios[[#This Row],[Producto]],'[1]Costo Materia Prima'!A$3:K$424,4,FALSE),"")</f>
        <v>LT</v>
      </c>
      <c r="H7" s="5">
        <f>_xlfn.IFNA(VLOOKUP(TablaPrecios[[#This Row],[Producto]],'[1]Costo Materia Prima'!A$3:K$424,5,FALSE),"")</f>
        <v>0</v>
      </c>
      <c r="I7" s="5">
        <f>IFERROR(TablaPrecios[[#This Row],[Precio]]/TablaPrecios[[#This Row],[Cantidad]],0)</f>
        <v>0</v>
      </c>
      <c r="J7" t="str">
        <f>_xlfn.IFNA(VLOOKUP(TablaPrecios[[#This Row],[Producto]],'[1]Costo Materia Prima'!A$3:K$424,8,FALSE),"")</f>
        <v>LT</v>
      </c>
      <c r="K7" t="str">
        <f>_xlfn.IFNA(VLOOKUP(TablaPrecios[[#This Row],[Producto]],'[1]Costo Materia Prima'!A$3:K$424,9,FALSE),"-")</f>
        <v>Verificado</v>
      </c>
      <c r="L7" s="96">
        <f>_xlfn.IFNA(VLOOKUP(TablaPrecios[[#This Row],[Producto]],'[1]Costo Materia Prima'!A$3:K$424,11,FALSE),"")</f>
        <v>46024</v>
      </c>
    </row>
    <row r="8" spans="1:12" x14ac:dyDescent="0.2">
      <c r="A8" t="s">
        <v>11</v>
      </c>
      <c r="B8" t="s">
        <v>12</v>
      </c>
      <c r="C8" s="81">
        <v>7501020540666</v>
      </c>
      <c r="D8" t="s">
        <v>26</v>
      </c>
      <c r="E8" t="s">
        <v>27</v>
      </c>
      <c r="F8">
        <f>_xlfn.IFNA(VLOOKUP(TablaPrecios[[#This Row],[Producto]],'[1]Costo Materia Prima'!A$3:K$424,3,FALSE),"")</f>
        <v>240</v>
      </c>
      <c r="G8" t="str">
        <f>_xlfn.IFNA(VLOOKUP(TablaPrecios[[#This Row],[Producto]],'[1]Costo Materia Prima'!A$3:K$424,4,FALSE),"")</f>
        <v>LT</v>
      </c>
      <c r="H8" s="5">
        <f>_xlfn.IFNA(VLOOKUP(TablaPrecios[[#This Row],[Producto]],'[1]Costo Materia Prima'!A$3:K$424,5,FALSE),"")</f>
        <v>4692</v>
      </c>
      <c r="I8" s="5">
        <f>IFERROR(TablaPrecios[[#This Row],[Precio]]/TablaPrecios[[#This Row],[Cantidad]],0)</f>
        <v>19.55</v>
      </c>
      <c r="J8" t="str">
        <f>_xlfn.IFNA(VLOOKUP(TablaPrecios[[#This Row],[Producto]],'[1]Costo Materia Prima'!A$3:K$424,8,FALSE),"")</f>
        <v>LT</v>
      </c>
      <c r="K8" t="str">
        <f>_xlfn.IFNA(VLOOKUP(TablaPrecios[[#This Row],[Producto]],'[1]Costo Materia Prima'!A$3:K$424,9,FALSE),"-")</f>
        <v>Verificado</v>
      </c>
      <c r="L8" s="96">
        <f>_xlfn.IFNA(VLOOKUP(TablaPrecios[[#This Row],[Producto]],'[1]Costo Materia Prima'!A$3:K$424,11,FALSE),"")</f>
        <v>46042</v>
      </c>
    </row>
    <row r="9" spans="1:12" x14ac:dyDescent="0.2">
      <c r="C9" s="81"/>
      <c r="D9" t="s">
        <v>630</v>
      </c>
      <c r="F9">
        <f>_xlfn.IFNA(VLOOKUP(TablaPrecios[[#This Row],[Producto]],'[1]Costo Materia Prima'!A$3:K$424,3,FALSE),"")</f>
        <v>3.74</v>
      </c>
      <c r="G9" t="str">
        <f>_xlfn.IFNA(VLOOKUP(TablaPrecios[[#This Row],[Producto]],'[1]Costo Materia Prima'!A$3:K$424,4,FALSE),"")</f>
        <v>KG</v>
      </c>
      <c r="H9" s="5">
        <f>_xlfn.IFNA(VLOOKUP(TablaPrecios[[#This Row],[Producto]],'[1]Costo Materia Prima'!A$3:K$424,5,FALSE),"")</f>
        <v>100.98</v>
      </c>
      <c r="I9" s="5">
        <f>IFERROR(TablaPrecios[[#This Row],[Precio]]/TablaPrecios[[#This Row],[Cantidad]],0)</f>
        <v>27</v>
      </c>
      <c r="J9" t="str">
        <f>_xlfn.IFNA(VLOOKUP(TablaPrecios[[#This Row],[Producto]],'[1]Costo Materia Prima'!A$3:K$424,8,FALSE),"")</f>
        <v>KG</v>
      </c>
      <c r="K9" t="str">
        <f>_xlfn.IFNA(VLOOKUP(TablaPrecios[[#This Row],[Producto]],'[1]Costo Materia Prima'!A$3:K$424,9,FALSE),"-")</f>
        <v>Verificado</v>
      </c>
      <c r="L9" s="96">
        <f>_xlfn.IFNA(VLOOKUP(TablaPrecios[[#This Row],[Producto]],'[1]Costo Materia Prima'!A$3:K$424,11,FALSE),"")</f>
        <v>46024</v>
      </c>
    </row>
    <row r="10" spans="1:12" x14ac:dyDescent="0.2">
      <c r="A10" t="s">
        <v>28</v>
      </c>
      <c r="B10" t="s">
        <v>29</v>
      </c>
      <c r="C10" s="81"/>
      <c r="D10" t="s">
        <v>30</v>
      </c>
      <c r="E10" t="s">
        <v>31</v>
      </c>
      <c r="F10">
        <f>_xlfn.IFNA(VLOOKUP(TablaPrecios[[#This Row],[Producto]],'[1]Costo Materia Prima'!A$3:K$424,3,FALSE),"")</f>
        <v>160</v>
      </c>
      <c r="G10" t="str">
        <f>_xlfn.IFNA(VLOOKUP(TablaPrecios[[#This Row],[Producto]],'[1]Costo Materia Prima'!A$3:K$424,4,FALSE),"")</f>
        <v>LT</v>
      </c>
      <c r="H10" s="5">
        <f>_xlfn.IFNA(VLOOKUP(TablaPrecios[[#This Row],[Producto]],'[1]Costo Materia Prima'!A$3:K$424,5,FALSE),"")</f>
        <v>6560</v>
      </c>
      <c r="I10" s="5">
        <f>IFERROR(TablaPrecios[[#This Row],[Precio]]/TablaPrecios[[#This Row],[Cantidad]],0)</f>
        <v>41</v>
      </c>
      <c r="J10" t="str">
        <f>_xlfn.IFNA(VLOOKUP(TablaPrecios[[#This Row],[Producto]],'[1]Costo Materia Prima'!A$3:K$424,8,FALSE),"")</f>
        <v>LT</v>
      </c>
      <c r="K10" t="str">
        <f>_xlfn.IFNA(VLOOKUP(TablaPrecios[[#This Row],[Producto]],'[1]Costo Materia Prima'!A$3:K$424,9,FALSE),"-")</f>
        <v>Verificado</v>
      </c>
      <c r="L10" s="96">
        <f>_xlfn.IFNA(VLOOKUP(TablaPrecios[[#This Row],[Producto]],'[1]Costo Materia Prima'!A$3:K$424,11,FALSE),"")</f>
        <v>46042</v>
      </c>
    </row>
    <row r="11" spans="1:12" x14ac:dyDescent="0.2">
      <c r="A11" t="s">
        <v>32</v>
      </c>
      <c r="B11" t="s">
        <v>33</v>
      </c>
      <c r="C11" s="81"/>
      <c r="D11" t="s">
        <v>34</v>
      </c>
      <c r="E11" t="s">
        <v>35</v>
      </c>
      <c r="F11">
        <f>_xlfn.IFNA(VLOOKUP(TablaPrecios[[#This Row],[Producto]],'[1]Costo Materia Prima'!A$3:K$424,3,FALSE),"")</f>
        <v>126</v>
      </c>
      <c r="G11" t="str">
        <f>_xlfn.IFNA(VLOOKUP(TablaPrecios[[#This Row],[Producto]],'[1]Costo Materia Prima'!A$3:K$424,4,FALSE),"")</f>
        <v>KG</v>
      </c>
      <c r="H11" s="5">
        <f>_xlfn.IFNA(VLOOKUP(TablaPrecios[[#This Row],[Producto]],'[1]Costo Materia Prima'!A$3:K$424,5,FALSE),"")</f>
        <v>9668.75</v>
      </c>
      <c r="I11" s="5">
        <f>IFERROR(TablaPrecios[[#This Row],[Precio]]/TablaPrecios[[#This Row],[Cantidad]],0)</f>
        <v>76.736111111111114</v>
      </c>
      <c r="J11" t="str">
        <f>_xlfn.IFNA(VLOOKUP(TablaPrecios[[#This Row],[Producto]],'[1]Costo Materia Prima'!A$3:K$424,8,FALSE),"")</f>
        <v>KG</v>
      </c>
      <c r="K11" t="str">
        <f>_xlfn.IFNA(VLOOKUP(TablaPrecios[[#This Row],[Producto]],'[1]Costo Materia Prima'!A$3:K$424,9,FALSE),"-")</f>
        <v>Verificado</v>
      </c>
      <c r="L11" s="96">
        <f>_xlfn.IFNA(VLOOKUP(TablaPrecios[[#This Row],[Producto]],'[1]Costo Materia Prima'!A$3:K$424,11,FALSE),"")</f>
        <v>46024</v>
      </c>
    </row>
    <row r="12" spans="1:12" x14ac:dyDescent="0.2">
      <c r="A12" t="s">
        <v>36</v>
      </c>
      <c r="B12" t="s">
        <v>37</v>
      </c>
      <c r="C12" s="81"/>
      <c r="D12" t="s">
        <v>38</v>
      </c>
      <c r="E12" t="s">
        <v>39</v>
      </c>
      <c r="F12">
        <f>_xlfn.IFNA(VLOOKUP(TablaPrecios[[#This Row],[Producto]],'[1]Costo Materia Prima'!A$3:K$424,3,FALSE),"")</f>
        <v>0</v>
      </c>
      <c r="G12" t="str">
        <f>_xlfn.IFNA(VLOOKUP(TablaPrecios[[#This Row],[Producto]],'[1]Costo Materia Prima'!A$3:K$424,4,FALSE),"")</f>
        <v>KG</v>
      </c>
      <c r="H12" s="5">
        <f>_xlfn.IFNA(VLOOKUP(TablaPrecios[[#This Row],[Producto]],'[1]Costo Materia Prima'!A$3:K$424,5,FALSE),"")</f>
        <v>0</v>
      </c>
      <c r="I12" s="5">
        <f>IFERROR(TablaPrecios[[#This Row],[Precio]]/TablaPrecios[[#This Row],[Cantidad]],0)</f>
        <v>0</v>
      </c>
      <c r="J12" t="str">
        <f>_xlfn.IFNA(VLOOKUP(TablaPrecios[[#This Row],[Producto]],'[1]Costo Materia Prima'!A$3:K$424,8,FALSE),"")</f>
        <v>KG</v>
      </c>
      <c r="K12" t="str">
        <f>_xlfn.IFNA(VLOOKUP(TablaPrecios[[#This Row],[Producto]],'[1]Costo Materia Prima'!A$3:K$424,9,FALSE),"-")</f>
        <v>Verificado</v>
      </c>
      <c r="L12" s="96">
        <f>_xlfn.IFNA(VLOOKUP(TablaPrecios[[#This Row],[Producto]],'[1]Costo Materia Prima'!A$3:K$424,11,FALSE),"")</f>
        <v>46024</v>
      </c>
    </row>
    <row r="13" spans="1:12" x14ac:dyDescent="0.2">
      <c r="A13" t="s">
        <v>36</v>
      </c>
      <c r="B13" t="s">
        <v>37</v>
      </c>
      <c r="C13" s="81"/>
      <c r="D13" t="s">
        <v>40</v>
      </c>
      <c r="E13" t="s">
        <v>41</v>
      </c>
      <c r="F13">
        <f>_xlfn.IFNA(VLOOKUP(TablaPrecios[[#This Row],[Producto]],'[1]Costo Materia Prima'!A$3:K$424,3,FALSE),"")</f>
        <v>0</v>
      </c>
      <c r="G13" t="str">
        <f>_xlfn.IFNA(VLOOKUP(TablaPrecios[[#This Row],[Producto]],'[1]Costo Materia Prima'!A$3:K$424,4,FALSE),"")</f>
        <v>KG</v>
      </c>
      <c r="H13" s="5">
        <f>_xlfn.IFNA(VLOOKUP(TablaPrecios[[#This Row],[Producto]],'[1]Costo Materia Prima'!A$3:K$424,5,FALSE),"")</f>
        <v>0</v>
      </c>
      <c r="I13" s="5">
        <f>IFERROR(TablaPrecios[[#This Row],[Precio]]/TablaPrecios[[#This Row],[Cantidad]],0)</f>
        <v>0</v>
      </c>
      <c r="J13" t="str">
        <f>_xlfn.IFNA(VLOOKUP(TablaPrecios[[#This Row],[Producto]],'[1]Costo Materia Prima'!A$3:K$424,8,FALSE),"")</f>
        <v>KG</v>
      </c>
      <c r="K13" t="str">
        <f>_xlfn.IFNA(VLOOKUP(TablaPrecios[[#This Row],[Producto]],'[1]Costo Materia Prima'!A$3:K$424,9,FALSE),"-")</f>
        <v>Verificado</v>
      </c>
      <c r="L13" s="96">
        <f>_xlfn.IFNA(VLOOKUP(TablaPrecios[[#This Row],[Producto]],'[1]Costo Materia Prima'!A$3:K$424,11,FALSE),"")</f>
        <v>46024</v>
      </c>
    </row>
    <row r="14" spans="1:12" x14ac:dyDescent="0.2">
      <c r="A14" t="s">
        <v>36</v>
      </c>
      <c r="B14" t="s">
        <v>37</v>
      </c>
      <c r="C14" s="81"/>
      <c r="D14" t="s">
        <v>42</v>
      </c>
      <c r="E14" t="s">
        <v>43</v>
      </c>
      <c r="F14">
        <f>_xlfn.IFNA(VLOOKUP(TablaPrecios[[#This Row],[Producto]],'[1]Costo Materia Prima'!A$3:K$424,3,FALSE),"")</f>
        <v>0.62</v>
      </c>
      <c r="G14" t="str">
        <f>_xlfn.IFNA(VLOOKUP(TablaPrecios[[#This Row],[Producto]],'[1]Costo Materia Prima'!A$3:K$424,4,FALSE),"")</f>
        <v>KG</v>
      </c>
      <c r="H14" s="5">
        <f>_xlfn.IFNA(VLOOKUP(TablaPrecios[[#This Row],[Producto]],'[1]Costo Materia Prima'!A$3:K$424,5,FALSE),"")</f>
        <v>313.20999999999998</v>
      </c>
      <c r="I14" s="5">
        <f>IFERROR(TablaPrecios[[#This Row],[Precio]]/TablaPrecios[[#This Row],[Cantidad]],0)</f>
        <v>505.17741935483866</v>
      </c>
      <c r="J14" t="str">
        <f>_xlfn.IFNA(VLOOKUP(TablaPrecios[[#This Row],[Producto]],'[1]Costo Materia Prima'!A$3:K$424,8,FALSE),"")</f>
        <v>KG</v>
      </c>
      <c r="K14" t="str">
        <f>_xlfn.IFNA(VLOOKUP(TablaPrecios[[#This Row],[Producto]],'[1]Costo Materia Prima'!A$3:K$424,9,FALSE),"-")</f>
        <v>Verificado</v>
      </c>
      <c r="L14" s="96">
        <f>_xlfn.IFNA(VLOOKUP(TablaPrecios[[#This Row],[Producto]],'[1]Costo Materia Prima'!A$3:K$424,11,FALSE),"")</f>
        <v>46042</v>
      </c>
    </row>
    <row r="15" spans="1:12" x14ac:dyDescent="0.2">
      <c r="A15" t="s">
        <v>36</v>
      </c>
      <c r="B15" t="s">
        <v>37</v>
      </c>
      <c r="C15" s="81"/>
      <c r="D15" t="s">
        <v>44</v>
      </c>
      <c r="F15">
        <f>_xlfn.IFNA(VLOOKUP(TablaPrecios[[#This Row],[Producto]],'[1]Costo Materia Prima'!A$3:K$424,3,FALSE),"")</f>
        <v>0</v>
      </c>
      <c r="G15" t="str">
        <f>_xlfn.IFNA(VLOOKUP(TablaPrecios[[#This Row],[Producto]],'[1]Costo Materia Prima'!A$3:K$424,4,FALSE),"")</f>
        <v>KG</v>
      </c>
      <c r="H15" s="5">
        <f>_xlfn.IFNA(VLOOKUP(TablaPrecios[[#This Row],[Producto]],'[1]Costo Materia Prima'!A$3:K$424,5,FALSE),"")</f>
        <v>0</v>
      </c>
      <c r="I15" s="5">
        <f>IFERROR(TablaPrecios[[#This Row],[Precio]]/TablaPrecios[[#This Row],[Cantidad]],0)</f>
        <v>0</v>
      </c>
      <c r="J15" t="str">
        <f>_xlfn.IFNA(VLOOKUP(TablaPrecios[[#This Row],[Producto]],'[1]Costo Materia Prima'!A$3:K$424,8,FALSE),"")</f>
        <v>KG</v>
      </c>
      <c r="K15" t="str">
        <f>_xlfn.IFNA(VLOOKUP(TablaPrecios[[#This Row],[Producto]],'[1]Costo Materia Prima'!A$3:K$424,9,FALSE),"-")</f>
        <v>Verificado</v>
      </c>
      <c r="L15" s="96">
        <f>_xlfn.IFNA(VLOOKUP(TablaPrecios[[#This Row],[Producto]],'[1]Costo Materia Prima'!A$3:K$424,11,FALSE),"")</f>
        <v>45940</v>
      </c>
    </row>
    <row r="16" spans="1:12" x14ac:dyDescent="0.2">
      <c r="A16" t="s">
        <v>36</v>
      </c>
      <c r="B16" t="s">
        <v>37</v>
      </c>
      <c r="C16" s="81"/>
      <c r="D16" t="s">
        <v>45</v>
      </c>
      <c r="F16">
        <f>_xlfn.IFNA(VLOOKUP(TablaPrecios[[#This Row],[Producto]],'[1]Costo Materia Prima'!A$3:K$424,3,FALSE),"")</f>
        <v>0</v>
      </c>
      <c r="G16" t="str">
        <f>_xlfn.IFNA(VLOOKUP(TablaPrecios[[#This Row],[Producto]],'[1]Costo Materia Prima'!A$3:K$424,4,FALSE),"")</f>
        <v>KG</v>
      </c>
      <c r="H16" s="5">
        <f>_xlfn.IFNA(VLOOKUP(TablaPrecios[[#This Row],[Producto]],'[1]Costo Materia Prima'!A$3:K$424,5,FALSE),"")</f>
        <v>0</v>
      </c>
      <c r="I16" s="5">
        <f>IFERROR(TablaPrecios[[#This Row],[Precio]]/TablaPrecios[[#This Row],[Cantidad]],0)</f>
        <v>0</v>
      </c>
      <c r="J16" t="str">
        <f>_xlfn.IFNA(VLOOKUP(TablaPrecios[[#This Row],[Producto]],'[1]Costo Materia Prima'!A$3:K$424,8,FALSE),"")</f>
        <v>KG</v>
      </c>
      <c r="K16" t="str">
        <f>_xlfn.IFNA(VLOOKUP(TablaPrecios[[#This Row],[Producto]],'[1]Costo Materia Prima'!A$3:K$424,9,FALSE),"-")</f>
        <v>Verificado</v>
      </c>
      <c r="L16" s="96">
        <f>_xlfn.IFNA(VLOOKUP(TablaPrecios[[#This Row],[Producto]],'[1]Costo Materia Prima'!A$3:K$424,11,FALSE),"")</f>
        <v>46024</v>
      </c>
    </row>
    <row r="17" spans="1:13" x14ac:dyDescent="0.2">
      <c r="A17" t="s">
        <v>36</v>
      </c>
      <c r="B17" t="s">
        <v>37</v>
      </c>
      <c r="C17" s="81"/>
      <c r="D17" t="s">
        <v>46</v>
      </c>
      <c r="F17">
        <f>_xlfn.IFNA(VLOOKUP(TablaPrecios[[#This Row],[Producto]],'[1]Costo Materia Prima'!A$3:K$424,3,FALSE),"")</f>
        <v>0</v>
      </c>
      <c r="G17" t="str">
        <f>_xlfn.IFNA(VLOOKUP(TablaPrecios[[#This Row],[Producto]],'[1]Costo Materia Prima'!A$3:K$424,4,FALSE),"")</f>
        <v>KG</v>
      </c>
      <c r="H17" s="5">
        <f>_xlfn.IFNA(VLOOKUP(TablaPrecios[[#This Row],[Producto]],'[1]Costo Materia Prima'!A$3:K$424,5,FALSE),"")</f>
        <v>0</v>
      </c>
      <c r="I17" s="5">
        <f>IFERROR(TablaPrecios[[#This Row],[Precio]]/TablaPrecios[[#This Row],[Cantidad]],0)</f>
        <v>0</v>
      </c>
      <c r="J17" t="str">
        <f>_xlfn.IFNA(VLOOKUP(TablaPrecios[[#This Row],[Producto]],'[1]Costo Materia Prima'!A$3:K$424,8,FALSE),"")</f>
        <v>kg</v>
      </c>
      <c r="K17" t="str">
        <f>_xlfn.IFNA(VLOOKUP(TablaPrecios[[#This Row],[Producto]],'[1]Costo Materia Prima'!A$3:K$424,9,FALSE),"-")</f>
        <v>Verificado</v>
      </c>
      <c r="L17" s="96">
        <f>_xlfn.IFNA(VLOOKUP(TablaPrecios[[#This Row],[Producto]],'[1]Costo Materia Prima'!A$3:K$424,11,FALSE),"")</f>
        <v>45940</v>
      </c>
    </row>
    <row r="18" spans="1:13" x14ac:dyDescent="0.2">
      <c r="A18" t="s">
        <v>48</v>
      </c>
      <c r="B18" t="s">
        <v>49</v>
      </c>
      <c r="C18" s="81"/>
      <c r="D18" t="s">
        <v>50</v>
      </c>
      <c r="E18" t="s">
        <v>51</v>
      </c>
      <c r="F18">
        <f>_xlfn.IFNA(VLOOKUP(TablaPrecios[[#This Row],[Producto]],'[1]Costo Materia Prima'!A$3:K$424,3,FALSE),"")</f>
        <v>133.18</v>
      </c>
      <c r="G18" t="str">
        <f>_xlfn.IFNA(VLOOKUP(TablaPrecios[[#This Row],[Producto]],'[1]Costo Materia Prima'!A$3:K$424,4,FALSE),"")</f>
        <v>Kg</v>
      </c>
      <c r="H18" s="5">
        <f>_xlfn.IFNA(VLOOKUP(TablaPrecios[[#This Row],[Producto]],'[1]Costo Materia Prima'!A$3:K$424,5,FALSE),"")</f>
        <v>12000</v>
      </c>
      <c r="I18" s="5">
        <f>IFERROR(TablaPrecios[[#This Row],[Precio]]/TablaPrecios[[#This Row],[Cantidad]],0)</f>
        <v>90.103619162036338</v>
      </c>
      <c r="J18" t="str">
        <f>_xlfn.IFNA(VLOOKUP(TablaPrecios[[#This Row],[Producto]],'[1]Costo Materia Prima'!A$3:K$424,8,FALSE),"")</f>
        <v>KG</v>
      </c>
      <c r="K18" t="str">
        <f>_xlfn.IFNA(VLOOKUP(TablaPrecios[[#This Row],[Producto]],'[1]Costo Materia Prima'!A$3:K$424,9,FALSE),"-")</f>
        <v>Verificado</v>
      </c>
      <c r="L18" s="96">
        <f>_xlfn.IFNA(VLOOKUP(TablaPrecios[[#This Row],[Producto]],'[1]Costo Materia Prima'!A$3:K$424,11,FALSE),"")</f>
        <v>46042</v>
      </c>
      <c r="M18" t="s">
        <v>52</v>
      </c>
    </row>
    <row r="19" spans="1:13" x14ac:dyDescent="0.2">
      <c r="A19" t="s">
        <v>53</v>
      </c>
      <c r="B19" t="s">
        <v>53</v>
      </c>
      <c r="C19" s="81" t="s">
        <v>54</v>
      </c>
      <c r="D19" t="s">
        <v>54</v>
      </c>
      <c r="E19" t="s">
        <v>55</v>
      </c>
      <c r="F19">
        <f>_xlfn.IFNA(VLOOKUP(TablaPrecios[[#This Row],[Producto]],'[1]Costo Materia Prima'!A$3:K$424,3,FALSE),"")</f>
        <v>0</v>
      </c>
      <c r="G19" t="str">
        <f>_xlfn.IFNA(VLOOKUP(TablaPrecios[[#This Row],[Producto]],'[1]Costo Materia Prima'!A$3:K$424,4,FALSE),"")</f>
        <v>KG</v>
      </c>
      <c r="H19" s="5">
        <f>_xlfn.IFNA(VLOOKUP(TablaPrecios[[#This Row],[Producto]],'[1]Costo Materia Prima'!A$3:K$424,5,FALSE),"")</f>
        <v>0</v>
      </c>
      <c r="I19" s="5">
        <f>IFERROR(TablaPrecios[[#This Row],[Precio]]/TablaPrecios[[#This Row],[Cantidad]],0)</f>
        <v>0</v>
      </c>
      <c r="J19" t="str">
        <f>_xlfn.IFNA(VLOOKUP(TablaPrecios[[#This Row],[Producto]],'[1]Costo Materia Prima'!A$3:K$424,8,FALSE),"")</f>
        <v>KG</v>
      </c>
      <c r="K19" t="str">
        <f>_xlfn.IFNA(VLOOKUP(TablaPrecios[[#This Row],[Producto]],'[1]Costo Materia Prima'!A$3:K$424,9,FALSE),"-")</f>
        <v>Verificado</v>
      </c>
      <c r="L19" s="96">
        <f>_xlfn.IFNA(VLOOKUP(TablaPrecios[[#This Row],[Producto]],'[1]Costo Materia Prima'!A$3:K$424,11,FALSE),"")</f>
        <v>46024</v>
      </c>
    </row>
    <row r="20" spans="1:13" x14ac:dyDescent="0.2">
      <c r="A20" t="s">
        <v>56</v>
      </c>
      <c r="B20" t="s">
        <v>57</v>
      </c>
      <c r="C20" s="81">
        <v>29519052102</v>
      </c>
      <c r="D20" t="s">
        <v>58</v>
      </c>
      <c r="E20" t="s">
        <v>59</v>
      </c>
      <c r="F20">
        <f>_xlfn.IFNA(VLOOKUP(TablaPrecios[[#This Row],[Producto]],'[1]Costo Materia Prima'!A$3:K$424,3,FALSE),"")</f>
        <v>0</v>
      </c>
      <c r="G20" t="str">
        <f>_xlfn.IFNA(VLOOKUP(TablaPrecios[[#This Row],[Producto]],'[1]Costo Materia Prima'!A$3:K$424,4,FALSE),"")</f>
        <v>KG</v>
      </c>
      <c r="H20" s="5">
        <f>_xlfn.IFNA(VLOOKUP(TablaPrecios[[#This Row],[Producto]],'[1]Costo Materia Prima'!A$3:K$424,5,FALSE),"")</f>
        <v>0</v>
      </c>
      <c r="I20" s="5">
        <f>IFERROR(TablaPrecios[[#This Row],[Precio]]/TablaPrecios[[#This Row],[Cantidad]],0)</f>
        <v>0</v>
      </c>
      <c r="J20" t="str">
        <f>_xlfn.IFNA(VLOOKUP(TablaPrecios[[#This Row],[Producto]],'[1]Costo Materia Prima'!A$3:K$424,8,FALSE),"")</f>
        <v>KG</v>
      </c>
      <c r="K20" t="str">
        <f>_xlfn.IFNA(VLOOKUP(TablaPrecios[[#This Row],[Producto]],'[1]Costo Materia Prima'!A$3:K$424,9,FALSE),"-")</f>
        <v>Verificado</v>
      </c>
      <c r="L20" s="96">
        <f>_xlfn.IFNA(VLOOKUP(TablaPrecios[[#This Row],[Producto]],'[1]Costo Materia Prima'!A$3:K$424,11,FALSE),"")</f>
        <v>46024</v>
      </c>
    </row>
    <row r="21" spans="1:13" x14ac:dyDescent="0.2">
      <c r="A21" t="s">
        <v>56</v>
      </c>
      <c r="B21" t="s">
        <v>57</v>
      </c>
      <c r="C21" s="81">
        <v>10005036</v>
      </c>
      <c r="D21" t="s">
        <v>60</v>
      </c>
      <c r="E21" t="s">
        <v>60</v>
      </c>
      <c r="F21">
        <f>_xlfn.IFNA(VLOOKUP(TablaPrecios[[#This Row],[Producto]],'[1]Costo Materia Prima'!A$3:K$424,3,FALSE),"")</f>
        <v>0</v>
      </c>
      <c r="G21" t="str">
        <f>_xlfn.IFNA(VLOOKUP(TablaPrecios[[#This Row],[Producto]],'[1]Costo Materia Prima'!A$3:K$424,4,FALSE),"")</f>
        <v>LT</v>
      </c>
      <c r="H21" s="5">
        <f>_xlfn.IFNA(VLOOKUP(TablaPrecios[[#This Row],[Producto]],'[1]Costo Materia Prima'!A$3:K$424,5,FALSE),"")</f>
        <v>2399</v>
      </c>
      <c r="I21" s="5">
        <f>IFERROR(TablaPrecios[[#This Row],[Precio]]/TablaPrecios[[#This Row],[Cantidad]],0)</f>
        <v>0</v>
      </c>
      <c r="J21" t="str">
        <f>_xlfn.IFNA(VLOOKUP(TablaPrecios[[#This Row],[Producto]],'[1]Costo Materia Prima'!A$3:K$424,8,FALSE),"")</f>
        <v>LT</v>
      </c>
      <c r="K21" t="str">
        <f>_xlfn.IFNA(VLOOKUP(TablaPrecios[[#This Row],[Producto]],'[1]Costo Materia Prima'!A$3:K$424,9,FALSE),"-")</f>
        <v>Verificado</v>
      </c>
      <c r="L21" s="96">
        <f>_xlfn.IFNA(VLOOKUP(TablaPrecios[[#This Row],[Producto]],'[1]Costo Materia Prima'!A$3:K$424,11,FALSE),"")</f>
        <v>46024</v>
      </c>
    </row>
    <row r="22" spans="1:13" x14ac:dyDescent="0.2">
      <c r="A22" t="s">
        <v>56</v>
      </c>
      <c r="B22" t="s">
        <v>57</v>
      </c>
      <c r="C22" s="81">
        <v>19900003554</v>
      </c>
      <c r="D22" t="s">
        <v>61</v>
      </c>
      <c r="E22" t="s">
        <v>62</v>
      </c>
      <c r="F22">
        <f>_xlfn.IFNA(VLOOKUP(TablaPrecios[[#This Row],[Producto]],'[1]Costo Materia Prima'!A$3:K$424,3,FALSE),"")</f>
        <v>80</v>
      </c>
      <c r="G22" t="str">
        <f>_xlfn.IFNA(VLOOKUP(TablaPrecios[[#This Row],[Producto]],'[1]Costo Materia Prima'!A$3:K$424,4,FALSE),"")</f>
        <v>KG</v>
      </c>
      <c r="H22" s="5">
        <f>_xlfn.IFNA(VLOOKUP(TablaPrecios[[#This Row],[Producto]],'[1]Costo Materia Prima'!A$3:K$424,5,FALSE),"")</f>
        <v>2835</v>
      </c>
      <c r="I22" s="5">
        <f>IFERROR(TablaPrecios[[#This Row],[Precio]]/TablaPrecios[[#This Row],[Cantidad]],0)</f>
        <v>35.4375</v>
      </c>
      <c r="J22" t="str">
        <f>_xlfn.IFNA(VLOOKUP(TablaPrecios[[#This Row],[Producto]],'[1]Costo Materia Prima'!A$3:K$424,8,FALSE),"")</f>
        <v>KG</v>
      </c>
      <c r="K22" t="str">
        <f>_xlfn.IFNA(VLOOKUP(TablaPrecios[[#This Row],[Producto]],'[1]Costo Materia Prima'!A$3:K$424,9,FALSE),"-")</f>
        <v>Verificado</v>
      </c>
      <c r="L22" s="96">
        <f>_xlfn.IFNA(VLOOKUP(TablaPrecios[[#This Row],[Producto]],'[1]Costo Materia Prima'!A$3:K$424,11,FALSE),"")</f>
        <v>46042</v>
      </c>
    </row>
    <row r="23" spans="1:13" x14ac:dyDescent="0.2">
      <c r="A23" t="s">
        <v>56</v>
      </c>
      <c r="B23" t="s">
        <v>57</v>
      </c>
      <c r="C23" s="81"/>
      <c r="D23" t="s">
        <v>63</v>
      </c>
      <c r="E23" t="s">
        <v>64</v>
      </c>
      <c r="F23">
        <f>_xlfn.IFNA(VLOOKUP(TablaPrecios[[#This Row],[Producto]],'[1]Costo Materia Prima'!A$3:K$424,3,FALSE),"")</f>
        <v>13.5</v>
      </c>
      <c r="G23" t="str">
        <f>_xlfn.IFNA(VLOOKUP(TablaPrecios[[#This Row],[Producto]],'[1]Costo Materia Prima'!A$3:K$424,4,FALSE),"")</f>
        <v>KG</v>
      </c>
      <c r="H23" s="5">
        <f>_xlfn.IFNA(VLOOKUP(TablaPrecios[[#This Row],[Producto]],'[1]Costo Materia Prima'!A$3:K$424,5,FALSE),"")</f>
        <v>1917</v>
      </c>
      <c r="I23" s="5">
        <f>IFERROR(TablaPrecios[[#This Row],[Precio]]/TablaPrecios[[#This Row],[Cantidad]],0)</f>
        <v>142</v>
      </c>
      <c r="J23" t="str">
        <f>_xlfn.IFNA(VLOOKUP(TablaPrecios[[#This Row],[Producto]],'[1]Costo Materia Prima'!A$3:K$424,8,FALSE),"")</f>
        <v>KG</v>
      </c>
      <c r="K23" t="str">
        <f>_xlfn.IFNA(VLOOKUP(TablaPrecios[[#This Row],[Producto]],'[1]Costo Materia Prima'!A$3:K$424,9,FALSE),"-")</f>
        <v>Verificado</v>
      </c>
      <c r="L23" s="96">
        <f>_xlfn.IFNA(VLOOKUP(TablaPrecios[[#This Row],[Producto]],'[1]Costo Materia Prima'!A$3:K$424,11,FALSE),"")</f>
        <v>46024</v>
      </c>
    </row>
    <row r="24" spans="1:13" x14ac:dyDescent="0.2">
      <c r="A24" t="s">
        <v>56</v>
      </c>
      <c r="B24" t="s">
        <v>57</v>
      </c>
      <c r="C24" s="81">
        <v>33200011927</v>
      </c>
      <c r="D24" t="s">
        <v>65</v>
      </c>
      <c r="E24" t="s">
        <v>65</v>
      </c>
      <c r="F24">
        <f>_xlfn.IFNA(VLOOKUP(TablaPrecios[[#This Row],[Producto]],'[1]Costo Materia Prima'!A$3:K$424,3,FALSE),"")</f>
        <v>10</v>
      </c>
      <c r="G24" t="str">
        <f>_xlfn.IFNA(VLOOKUP(TablaPrecios[[#This Row],[Producto]],'[1]Costo Materia Prima'!A$3:K$424,4,FALSE),"")</f>
        <v>KG</v>
      </c>
      <c r="H24" s="5">
        <f>_xlfn.IFNA(VLOOKUP(TablaPrecios[[#This Row],[Producto]],'[1]Costo Materia Prima'!A$3:K$424,5,FALSE),"")</f>
        <v>384</v>
      </c>
      <c r="I24" s="5">
        <f>IFERROR(TablaPrecios[[#This Row],[Precio]]/TablaPrecios[[#This Row],[Cantidad]],0)</f>
        <v>38.4</v>
      </c>
      <c r="J24" t="str">
        <f>_xlfn.IFNA(VLOOKUP(TablaPrecios[[#This Row],[Producto]],'[1]Costo Materia Prima'!A$3:K$424,8,FALSE),"")</f>
        <v>KG</v>
      </c>
      <c r="K24" t="str">
        <f>_xlfn.IFNA(VLOOKUP(TablaPrecios[[#This Row],[Producto]],'[1]Costo Materia Prima'!A$3:K$424,9,FALSE),"-")</f>
        <v>Verificado</v>
      </c>
      <c r="L24" s="96">
        <f>_xlfn.IFNA(VLOOKUP(TablaPrecios[[#This Row],[Producto]],'[1]Costo Materia Prima'!A$3:K$424,11,FALSE),"")</f>
        <v>46042</v>
      </c>
    </row>
    <row r="25" spans="1:13" x14ac:dyDescent="0.2">
      <c r="A25" t="s">
        <v>66</v>
      </c>
      <c r="B25" t="s">
        <v>67</v>
      </c>
      <c r="C25" s="81"/>
      <c r="E25" t="s">
        <v>68</v>
      </c>
      <c r="F25" t="str">
        <f>_xlfn.IFNA(VLOOKUP(TablaPrecios[[#This Row],[Producto]],'[1]Costo Materia Prima'!A$3:K$424,3,FALSE),"")</f>
        <v/>
      </c>
      <c r="G25" t="str">
        <f>_xlfn.IFNA(VLOOKUP(TablaPrecios[[#This Row],[Producto]],'[1]Costo Materia Prima'!A$3:K$424,4,FALSE),"")</f>
        <v/>
      </c>
      <c r="H25" s="5" t="str">
        <f>_xlfn.IFNA(VLOOKUP(TablaPrecios[[#This Row],[Producto]],'[1]Costo Materia Prima'!A$3:K$424,5,FALSE),"")</f>
        <v/>
      </c>
      <c r="I25" s="5">
        <f>IFERROR(TablaPrecios[[#This Row],[Precio]]/TablaPrecios[[#This Row],[Cantidad]],0)</f>
        <v>0</v>
      </c>
      <c r="J25" t="str">
        <f>_xlfn.IFNA(VLOOKUP(TablaPrecios[[#This Row],[Producto]],'[1]Costo Materia Prima'!A$3:K$424,8,FALSE),"")</f>
        <v/>
      </c>
      <c r="K25" t="str">
        <f>_xlfn.IFNA(VLOOKUP(TablaPrecios[[#This Row],[Producto]],'[1]Costo Materia Prima'!A$3:K$424,9,FALSE),"-")</f>
        <v>-</v>
      </c>
      <c r="L25" s="96" t="str">
        <f>_xlfn.IFNA(VLOOKUP(TablaPrecios[[#This Row],[Producto]],'[1]Costo Materia Prima'!A$3:K$424,11,FALSE),"")</f>
        <v/>
      </c>
    </row>
    <row r="26" spans="1:13" x14ac:dyDescent="0.2">
      <c r="A26" t="s">
        <v>66</v>
      </c>
      <c r="B26" t="s">
        <v>67</v>
      </c>
      <c r="C26" s="81"/>
      <c r="E26" t="s">
        <v>69</v>
      </c>
      <c r="F26" t="str">
        <f>_xlfn.IFNA(VLOOKUP(TablaPrecios[[#This Row],[Producto]],'[1]Costo Materia Prima'!A$3:K$424,3,FALSE),"")</f>
        <v/>
      </c>
      <c r="G26" t="str">
        <f>_xlfn.IFNA(VLOOKUP(TablaPrecios[[#This Row],[Producto]],'[1]Costo Materia Prima'!A$3:K$424,4,FALSE),"")</f>
        <v/>
      </c>
      <c r="H26" s="5" t="str">
        <f>_xlfn.IFNA(VLOOKUP(TablaPrecios[[#This Row],[Producto]],'[1]Costo Materia Prima'!A$3:K$424,5,FALSE),"")</f>
        <v/>
      </c>
      <c r="I26" s="5">
        <f>IFERROR(TablaPrecios[[#This Row],[Precio]]/TablaPrecios[[#This Row],[Cantidad]],0)</f>
        <v>0</v>
      </c>
      <c r="J26" t="str">
        <f>_xlfn.IFNA(VLOOKUP(TablaPrecios[[#This Row],[Producto]],'[1]Costo Materia Prima'!A$3:K$424,8,FALSE),"")</f>
        <v/>
      </c>
      <c r="K26" t="str">
        <f>_xlfn.IFNA(VLOOKUP(TablaPrecios[[#This Row],[Producto]],'[1]Costo Materia Prima'!A$3:K$424,9,FALSE),"-")</f>
        <v>-</v>
      </c>
      <c r="L26" s="96" t="str">
        <f>_xlfn.IFNA(VLOOKUP(TablaPrecios[[#This Row],[Producto]],'[1]Costo Materia Prima'!A$3:K$424,11,FALSE),"")</f>
        <v/>
      </c>
    </row>
    <row r="27" spans="1:13" x14ac:dyDescent="0.2">
      <c r="A27" t="s">
        <v>70</v>
      </c>
      <c r="B27" t="s">
        <v>70</v>
      </c>
      <c r="C27" s="81"/>
      <c r="D27" t="s">
        <v>71</v>
      </c>
      <c r="E27" t="s">
        <v>72</v>
      </c>
      <c r="F27">
        <f>_xlfn.IFNA(VLOOKUP(TablaPrecios[[#This Row],[Producto]],'[1]Costo Materia Prima'!A$3:K$424,3,FALSE),"")</f>
        <v>50000</v>
      </c>
      <c r="G27" t="str">
        <f>_xlfn.IFNA(VLOOKUP(TablaPrecios[[#This Row],[Producto]],'[1]Costo Materia Prima'!A$3:K$424,4,FALSE),"")</f>
        <v>CM</v>
      </c>
      <c r="H27" s="5">
        <f>_xlfn.IFNA(VLOOKUP(TablaPrecios[[#This Row],[Producto]],'[1]Costo Materia Prima'!A$3:K$424,5,FALSE),"")</f>
        <v>7622.8</v>
      </c>
      <c r="I27" s="5">
        <f>IFERROR(TablaPrecios[[#This Row],[Precio]]/TablaPrecios[[#This Row],[Cantidad]],0)</f>
        <v>0.15245600000000001</v>
      </c>
      <c r="J27" t="str">
        <f>_xlfn.IFNA(VLOOKUP(TablaPrecios[[#This Row],[Producto]],'[1]Costo Materia Prima'!A$3:K$424,8,FALSE),"")</f>
        <v>CM</v>
      </c>
      <c r="K27" t="str">
        <f>_xlfn.IFNA(VLOOKUP(TablaPrecios[[#This Row],[Producto]],'[1]Costo Materia Prima'!A$3:K$424,9,FALSE),"-")</f>
        <v>Verificado</v>
      </c>
      <c r="L27" s="96">
        <f>_xlfn.IFNA(VLOOKUP(TablaPrecios[[#This Row],[Producto]],'[1]Costo Materia Prima'!A$3:K$424,11,FALSE),"")</f>
        <v>46024</v>
      </c>
    </row>
    <row r="28" spans="1:13" x14ac:dyDescent="0.2">
      <c r="C28" s="81"/>
      <c r="D28" t="s">
        <v>604</v>
      </c>
      <c r="E28" t="s">
        <v>605</v>
      </c>
      <c r="F28">
        <f>_xlfn.IFNA(VLOOKUP(TablaPrecios[[#This Row],[Producto]],'[1]Costo Materia Prima'!A$3:K$424,3,FALSE),"")</f>
        <v>15</v>
      </c>
      <c r="G28" t="str">
        <f>_xlfn.IFNA(VLOOKUP(TablaPrecios[[#This Row],[Producto]],'[1]Costo Materia Prima'!A$3:K$424,4,FALSE),"")</f>
        <v>KG</v>
      </c>
      <c r="H28" s="5">
        <f>_xlfn.IFNA(VLOOKUP(TablaPrecios[[#This Row],[Producto]],'[1]Costo Materia Prima'!A$3:K$424,5,FALSE),"")</f>
        <v>1800</v>
      </c>
      <c r="I28" s="5">
        <f>IFERROR(TablaPrecios[[#This Row],[Precio]]/TablaPrecios[[#This Row],[Cantidad]],0)</f>
        <v>120</v>
      </c>
      <c r="J28" t="str">
        <f>_xlfn.IFNA(VLOOKUP(TablaPrecios[[#This Row],[Producto]],'[1]Costo Materia Prima'!A$3:K$424,8,FALSE),"")</f>
        <v>KG</v>
      </c>
      <c r="K28" t="str">
        <f>_xlfn.IFNA(VLOOKUP(TablaPrecios[[#This Row],[Producto]],'[1]Costo Materia Prima'!A$3:K$424,9,FALSE),"-")</f>
        <v>Verificado</v>
      </c>
      <c r="L28" s="96">
        <f>_xlfn.IFNA(VLOOKUP(TablaPrecios[[#This Row],[Producto]],'[1]Costo Materia Prima'!A$3:K$424,11,FALSE),"")</f>
        <v>46042</v>
      </c>
    </row>
    <row r="29" spans="1:13" x14ac:dyDescent="0.2">
      <c r="A29" t="s">
        <v>73</v>
      </c>
      <c r="B29" t="s">
        <v>74</v>
      </c>
      <c r="C29" s="81"/>
      <c r="D29" t="s">
        <v>75</v>
      </c>
      <c r="E29" t="s">
        <v>75</v>
      </c>
      <c r="F29">
        <f>_xlfn.IFNA(VLOOKUP(TablaPrecios[[#This Row],[Producto]],'[1]Costo Materia Prima'!A$3:K$424,3,FALSE),"")</f>
        <v>10</v>
      </c>
      <c r="G29" t="str">
        <f>_xlfn.IFNA(VLOOKUP(TablaPrecios[[#This Row],[Producto]],'[1]Costo Materia Prima'!A$3:K$424,4,FALSE),"")</f>
        <v>KG</v>
      </c>
      <c r="H29" s="5">
        <f>_xlfn.IFNA(VLOOKUP(TablaPrecios[[#This Row],[Producto]],'[1]Costo Materia Prima'!A$3:K$424,5,FALSE),"")</f>
        <v>990</v>
      </c>
      <c r="I29" s="5">
        <f>IFERROR(TablaPrecios[[#This Row],[Precio]]/TablaPrecios[[#This Row],[Cantidad]],0)</f>
        <v>99</v>
      </c>
      <c r="J29" t="str">
        <f>_xlfn.IFNA(VLOOKUP(TablaPrecios[[#This Row],[Producto]],'[1]Costo Materia Prima'!A$3:K$424,8,FALSE),"")</f>
        <v>KG</v>
      </c>
      <c r="K29" t="str">
        <f>_xlfn.IFNA(VLOOKUP(TablaPrecios[[#This Row],[Producto]],'[1]Costo Materia Prima'!A$3:K$424,9,FALSE),"-")</f>
        <v>Verificado</v>
      </c>
      <c r="L29" s="96">
        <f>_xlfn.IFNA(VLOOKUP(TablaPrecios[[#This Row],[Producto]],'[1]Costo Materia Prima'!A$3:K$424,11,FALSE),"")</f>
        <v>46042</v>
      </c>
    </row>
    <row r="30" spans="1:13" x14ac:dyDescent="0.2">
      <c r="B30" t="s">
        <v>74</v>
      </c>
      <c r="C30" s="81" t="s">
        <v>76</v>
      </c>
      <c r="D30" t="s">
        <v>77</v>
      </c>
      <c r="E30" t="s">
        <v>78</v>
      </c>
      <c r="F30">
        <f>_xlfn.IFNA(VLOOKUP(TablaPrecios[[#This Row],[Producto]],'[1]Costo Materia Prima'!A$3:K$424,3,FALSE),"")</f>
        <v>200</v>
      </c>
      <c r="G30" t="str">
        <f>_xlfn.IFNA(VLOOKUP(TablaPrecios[[#This Row],[Producto]],'[1]Costo Materia Prima'!A$3:K$424,4,FALSE),"")</f>
        <v>PZ</v>
      </c>
      <c r="H30" s="5">
        <f>_xlfn.IFNA(VLOOKUP(TablaPrecios[[#This Row],[Producto]],'[1]Costo Materia Prima'!A$3:K$424,5,FALSE),"")</f>
        <v>2494</v>
      </c>
      <c r="I30" s="5">
        <f>IFERROR(TablaPrecios[[#This Row],[Precio]]/TablaPrecios[[#This Row],[Cantidad]],0)</f>
        <v>12.47</v>
      </c>
      <c r="J30" t="str">
        <f>_xlfn.IFNA(VLOOKUP(TablaPrecios[[#This Row],[Producto]],'[1]Costo Materia Prima'!A$3:K$424,8,FALSE),"")</f>
        <v>PZ</v>
      </c>
      <c r="K30" t="str">
        <f>_xlfn.IFNA(VLOOKUP(TablaPrecios[[#This Row],[Producto]],'[1]Costo Materia Prima'!A$3:K$424,9,FALSE),"-")</f>
        <v>Verificado</v>
      </c>
      <c r="L30" s="96">
        <f>_xlfn.IFNA(VLOOKUP(TablaPrecios[[#This Row],[Producto]],'[1]Costo Materia Prima'!A$3:K$424,11,FALSE),"")</f>
        <v>46042</v>
      </c>
    </row>
    <row r="31" spans="1:13" x14ac:dyDescent="0.2">
      <c r="B31" t="s">
        <v>74</v>
      </c>
      <c r="C31" s="81"/>
      <c r="D31" t="s">
        <v>79</v>
      </c>
      <c r="E31" t="s">
        <v>80</v>
      </c>
      <c r="F31">
        <f>_xlfn.IFNA(VLOOKUP(TablaPrecios[[#This Row],[Producto]],'[1]Costo Materia Prima'!A$3:K$424,3,FALSE),"")</f>
        <v>0</v>
      </c>
      <c r="G31" t="str">
        <f>_xlfn.IFNA(VLOOKUP(TablaPrecios[[#This Row],[Producto]],'[1]Costo Materia Prima'!A$3:K$424,4,FALSE),"")</f>
        <v>PZ</v>
      </c>
      <c r="H31" s="5">
        <f>_xlfn.IFNA(VLOOKUP(TablaPrecios[[#This Row],[Producto]],'[1]Costo Materia Prima'!A$3:K$424,5,FALSE),"")</f>
        <v>0</v>
      </c>
      <c r="I31" s="5">
        <f>IFERROR(TablaPrecios[[#This Row],[Precio]]/TablaPrecios[[#This Row],[Cantidad]],0)</f>
        <v>0</v>
      </c>
      <c r="J31" t="str">
        <f>_xlfn.IFNA(VLOOKUP(TablaPrecios[[#This Row],[Producto]],'[1]Costo Materia Prima'!A$3:K$424,8,FALSE),"")</f>
        <v>PZ</v>
      </c>
      <c r="K31" t="str">
        <f>_xlfn.IFNA(VLOOKUP(TablaPrecios[[#This Row],[Producto]],'[1]Costo Materia Prima'!A$3:K$424,9,FALSE),"-")</f>
        <v>Verificado</v>
      </c>
      <c r="L31" s="96">
        <f>_xlfn.IFNA(VLOOKUP(TablaPrecios[[#This Row],[Producto]],'[1]Costo Materia Prima'!A$3:K$424,11,FALSE),"")</f>
        <v>46024</v>
      </c>
    </row>
    <row r="32" spans="1:13" x14ac:dyDescent="0.2">
      <c r="A32" t="s">
        <v>73</v>
      </c>
      <c r="B32" t="s">
        <v>74</v>
      </c>
      <c r="C32" s="81"/>
      <c r="D32" t="s">
        <v>81</v>
      </c>
      <c r="E32" t="s">
        <v>81</v>
      </c>
      <c r="F32">
        <f>_xlfn.IFNA(VLOOKUP(TablaPrecios[[#This Row],[Producto]],'[1]Costo Materia Prima'!A$3:K$424,3,FALSE),"")</f>
        <v>20</v>
      </c>
      <c r="G32" t="str">
        <f>_xlfn.IFNA(VLOOKUP(TablaPrecios[[#This Row],[Producto]],'[1]Costo Materia Prima'!A$3:K$424,4,FALSE),"")</f>
        <v>KG</v>
      </c>
      <c r="H32" s="5">
        <f>_xlfn.IFNA(VLOOKUP(TablaPrecios[[#This Row],[Producto]],'[1]Costo Materia Prima'!A$3:K$424,5,FALSE),"")</f>
        <v>3980</v>
      </c>
      <c r="I32" s="5">
        <f>IFERROR(TablaPrecios[[#This Row],[Precio]]/TablaPrecios[[#This Row],[Cantidad]],0)</f>
        <v>199</v>
      </c>
      <c r="J32" t="str">
        <f>_xlfn.IFNA(VLOOKUP(TablaPrecios[[#This Row],[Producto]],'[1]Costo Materia Prima'!A$3:K$424,8,FALSE),"")</f>
        <v>KG</v>
      </c>
      <c r="K32" t="str">
        <f>_xlfn.IFNA(VLOOKUP(TablaPrecios[[#This Row],[Producto]],'[1]Costo Materia Prima'!A$3:K$424,9,FALSE),"-")</f>
        <v>Verificado</v>
      </c>
      <c r="L32" s="96">
        <f>_xlfn.IFNA(VLOOKUP(TablaPrecios[[#This Row],[Producto]],'[1]Costo Materia Prima'!A$3:K$424,11,FALSE),"")</f>
        <v>46042</v>
      </c>
    </row>
    <row r="33" spans="1:12" x14ac:dyDescent="0.2">
      <c r="A33" t="s">
        <v>73</v>
      </c>
      <c r="B33" t="s">
        <v>74</v>
      </c>
      <c r="C33" s="81"/>
      <c r="D33" t="s">
        <v>82</v>
      </c>
      <c r="E33" t="s">
        <v>82</v>
      </c>
      <c r="F33">
        <f>_xlfn.IFNA(VLOOKUP(TablaPrecios[[#This Row],[Producto]],'[1]Costo Materia Prima'!A$3:K$424,3,FALSE),"")</f>
        <v>20</v>
      </c>
      <c r="G33" t="str">
        <f>_xlfn.IFNA(VLOOKUP(TablaPrecios[[#This Row],[Producto]],'[1]Costo Materia Prima'!A$3:K$424,4,FALSE),"")</f>
        <v>KG</v>
      </c>
      <c r="H33" s="5">
        <f>_xlfn.IFNA(VLOOKUP(TablaPrecios[[#This Row],[Producto]],'[1]Costo Materia Prima'!A$3:K$424,5,FALSE),"")</f>
        <v>4380</v>
      </c>
      <c r="I33" s="5">
        <f>IFERROR(TablaPrecios[[#This Row],[Precio]]/TablaPrecios[[#This Row],[Cantidad]],0)</f>
        <v>219</v>
      </c>
      <c r="J33" t="str">
        <f>_xlfn.IFNA(VLOOKUP(TablaPrecios[[#This Row],[Producto]],'[1]Costo Materia Prima'!A$3:K$424,8,FALSE),"")</f>
        <v>KG</v>
      </c>
      <c r="K33" t="str">
        <f>_xlfn.IFNA(VLOOKUP(TablaPrecios[[#This Row],[Producto]],'[1]Costo Materia Prima'!A$3:K$424,9,FALSE),"-")</f>
        <v>Verificado</v>
      </c>
      <c r="L33" s="96">
        <f>_xlfn.IFNA(VLOOKUP(TablaPrecios[[#This Row],[Producto]],'[1]Costo Materia Prima'!A$3:K$424,11,FALSE),"")</f>
        <v>46042</v>
      </c>
    </row>
    <row r="34" spans="1:12" x14ac:dyDescent="0.2">
      <c r="A34" t="s">
        <v>83</v>
      </c>
      <c r="C34" s="81"/>
      <c r="D34" t="s">
        <v>84</v>
      </c>
      <c r="E34" t="s">
        <v>84</v>
      </c>
      <c r="F34">
        <f>_xlfn.IFNA(VLOOKUP(TablaPrecios[[#This Row],[Producto]],'[1]Costo Materia Prima'!A$3:K$424,3,FALSE),"")</f>
        <v>4</v>
      </c>
      <c r="G34" t="str">
        <f>_xlfn.IFNA(VLOOKUP(TablaPrecios[[#This Row],[Producto]],'[1]Costo Materia Prima'!A$3:K$424,4,FALSE),"")</f>
        <v>KG</v>
      </c>
      <c r="H34" s="5">
        <f>_xlfn.IFNA(VLOOKUP(TablaPrecios[[#This Row],[Producto]],'[1]Costo Materia Prima'!A$3:K$424,5,FALSE),"")</f>
        <v>107.12</v>
      </c>
      <c r="I34" s="5">
        <f>IFERROR(TablaPrecios[[#This Row],[Precio]]/TablaPrecios[[#This Row],[Cantidad]],0)</f>
        <v>26.78</v>
      </c>
      <c r="J34" t="str">
        <f>_xlfn.IFNA(VLOOKUP(TablaPrecios[[#This Row],[Producto]],'[1]Costo Materia Prima'!A$3:K$424,8,FALSE),"")</f>
        <v>KG</v>
      </c>
      <c r="K34" t="str">
        <f>_xlfn.IFNA(VLOOKUP(TablaPrecios[[#This Row],[Producto]],'[1]Costo Materia Prima'!A$3:K$424,9,FALSE),"-")</f>
        <v>Verificado</v>
      </c>
      <c r="L34" s="96">
        <f>_xlfn.IFNA(VLOOKUP(TablaPrecios[[#This Row],[Producto]],'[1]Costo Materia Prima'!A$3:K$424,11,FALSE),"")</f>
        <v>46024</v>
      </c>
    </row>
    <row r="35" spans="1:12" x14ac:dyDescent="0.2">
      <c r="A35" t="s">
        <v>83</v>
      </c>
      <c r="C35" s="81"/>
      <c r="E35" t="s">
        <v>85</v>
      </c>
      <c r="F35" t="str">
        <f>_xlfn.IFNA(VLOOKUP(TablaPrecios[[#This Row],[Producto]],'[1]Costo Materia Prima'!A$3:K$424,3,FALSE),"")</f>
        <v/>
      </c>
      <c r="G35" t="str">
        <f>_xlfn.IFNA(VLOOKUP(TablaPrecios[[#This Row],[Producto]],'[1]Costo Materia Prima'!A$3:K$424,4,FALSE),"")</f>
        <v/>
      </c>
      <c r="H35" s="5" t="str">
        <f>_xlfn.IFNA(VLOOKUP(TablaPrecios[[#This Row],[Producto]],'[1]Costo Materia Prima'!A$3:K$424,5,FALSE),"")</f>
        <v/>
      </c>
      <c r="I35" s="5">
        <f>IFERROR(TablaPrecios[[#This Row],[Precio]]/TablaPrecios[[#This Row],[Cantidad]],0)</f>
        <v>0</v>
      </c>
      <c r="J35" t="str">
        <f>_xlfn.IFNA(VLOOKUP(TablaPrecios[[#This Row],[Producto]],'[1]Costo Materia Prima'!A$3:K$424,8,FALSE),"")</f>
        <v/>
      </c>
      <c r="K35" t="str">
        <f>_xlfn.IFNA(VLOOKUP(TablaPrecios[[#This Row],[Producto]],'[1]Costo Materia Prima'!A$3:K$424,9,FALSE),"-")</f>
        <v>-</v>
      </c>
      <c r="L35" s="96" t="str">
        <f>_xlfn.IFNA(VLOOKUP(TablaPrecios[[#This Row],[Producto]],'[1]Costo Materia Prima'!A$3:K$424,11,FALSE),"")</f>
        <v/>
      </c>
    </row>
    <row r="36" spans="1:12" x14ac:dyDescent="0.2">
      <c r="A36" t="s">
        <v>83</v>
      </c>
      <c r="C36" s="81"/>
      <c r="E36" t="s">
        <v>86</v>
      </c>
      <c r="F36" t="str">
        <f>_xlfn.IFNA(VLOOKUP(TablaPrecios[[#This Row],[Producto]],'[1]Costo Materia Prima'!A$3:K$424,3,FALSE),"")</f>
        <v/>
      </c>
      <c r="G36" t="str">
        <f>_xlfn.IFNA(VLOOKUP(TablaPrecios[[#This Row],[Producto]],'[1]Costo Materia Prima'!A$3:K$424,4,FALSE),"")</f>
        <v/>
      </c>
      <c r="H36" s="5" t="str">
        <f>_xlfn.IFNA(VLOOKUP(TablaPrecios[[#This Row],[Producto]],'[1]Costo Materia Prima'!A$3:K$424,5,FALSE),"")</f>
        <v/>
      </c>
      <c r="I36" s="5">
        <f>IFERROR(TablaPrecios[[#This Row],[Precio]]/TablaPrecios[[#This Row],[Cantidad]],0)</f>
        <v>0</v>
      </c>
      <c r="J36" t="str">
        <f>_xlfn.IFNA(VLOOKUP(TablaPrecios[[#This Row],[Producto]],'[1]Costo Materia Prima'!A$3:K$424,8,FALSE),"")</f>
        <v/>
      </c>
      <c r="K36" t="str">
        <f>_xlfn.IFNA(VLOOKUP(TablaPrecios[[#This Row],[Producto]],'[1]Costo Materia Prima'!A$3:K$424,9,FALSE),"-")</f>
        <v>-</v>
      </c>
      <c r="L36" s="96" t="str">
        <f>_xlfn.IFNA(VLOOKUP(TablaPrecios[[#This Row],[Producto]],'[1]Costo Materia Prima'!A$3:K$424,11,FALSE),"")</f>
        <v/>
      </c>
    </row>
    <row r="37" spans="1:12" x14ac:dyDescent="0.2">
      <c r="C37" s="81"/>
      <c r="D37" t="s">
        <v>87</v>
      </c>
      <c r="E37" t="s">
        <v>87</v>
      </c>
      <c r="F37">
        <f>_xlfn.IFNA(VLOOKUP(TablaPrecios[[#This Row],[Producto]],'[1]Costo Materia Prima'!A$3:K$424,3,FALSE),"")</f>
        <v>12</v>
      </c>
      <c r="G37" t="str">
        <f>_xlfn.IFNA(VLOOKUP(TablaPrecios[[#This Row],[Producto]],'[1]Costo Materia Prima'!A$3:K$424,4,FALSE),"")</f>
        <v>KG</v>
      </c>
      <c r="H37" s="5">
        <f>_xlfn.IFNA(VLOOKUP(TablaPrecios[[#This Row],[Producto]],'[1]Costo Materia Prima'!A$3:K$424,5,FALSE),"")</f>
        <v>3897.92</v>
      </c>
      <c r="I37" s="5">
        <f>IFERROR(TablaPrecios[[#This Row],[Precio]]/TablaPrecios[[#This Row],[Cantidad]],0)</f>
        <v>324.82666666666665</v>
      </c>
      <c r="J37" t="str">
        <f>_xlfn.IFNA(VLOOKUP(TablaPrecios[[#This Row],[Producto]],'[1]Costo Materia Prima'!A$3:K$424,8,FALSE),"")</f>
        <v>KG</v>
      </c>
      <c r="K37" t="str">
        <f>_xlfn.IFNA(VLOOKUP(TablaPrecios[[#This Row],[Producto]],'[1]Costo Materia Prima'!A$3:K$424,9,FALSE),"-")</f>
        <v>Verificado</v>
      </c>
      <c r="L37" s="96">
        <f>_xlfn.IFNA(VLOOKUP(TablaPrecios[[#This Row],[Producto]],'[1]Costo Materia Prima'!A$3:K$424,11,FALSE),"")</f>
        <v>46042</v>
      </c>
    </row>
    <row r="38" spans="1:12" x14ac:dyDescent="0.2">
      <c r="C38" s="81"/>
      <c r="D38" t="s">
        <v>88</v>
      </c>
      <c r="E38" t="s">
        <v>89</v>
      </c>
      <c r="F38">
        <f>_xlfn.IFNA(VLOOKUP(TablaPrecios[[#This Row],[Producto]],'[1]Costo Materia Prima'!A$3:K$424,3,FALSE),"")</f>
        <v>2.5</v>
      </c>
      <c r="G38" t="str">
        <f>_xlfn.IFNA(VLOOKUP(TablaPrecios[[#This Row],[Producto]],'[1]Costo Materia Prima'!A$3:K$424,4,FALSE),"")</f>
        <v>KG</v>
      </c>
      <c r="H38" s="5">
        <f>_xlfn.IFNA(VLOOKUP(TablaPrecios[[#This Row],[Producto]],'[1]Costo Materia Prima'!A$3:K$424,5,FALSE),"")</f>
        <v>660.87</v>
      </c>
      <c r="I38" s="5">
        <f>IFERROR(TablaPrecios[[#This Row],[Precio]]/TablaPrecios[[#This Row],[Cantidad]],0)</f>
        <v>264.34800000000001</v>
      </c>
      <c r="J38" t="str">
        <f>_xlfn.IFNA(VLOOKUP(TablaPrecios[[#This Row],[Producto]],'[1]Costo Materia Prima'!A$3:K$424,8,FALSE),"")</f>
        <v>KG</v>
      </c>
      <c r="K38" t="str">
        <f>_xlfn.IFNA(VLOOKUP(TablaPrecios[[#This Row],[Producto]],'[1]Costo Materia Prima'!A$3:K$424,9,FALSE),"-")</f>
        <v>Verificado</v>
      </c>
      <c r="L38" s="96">
        <f>_xlfn.IFNA(VLOOKUP(TablaPrecios[[#This Row],[Producto]],'[1]Costo Materia Prima'!A$3:K$424,11,FALSE),"")</f>
        <v>46042</v>
      </c>
    </row>
    <row r="39" spans="1:12" x14ac:dyDescent="0.2">
      <c r="C39" s="81"/>
      <c r="D39" t="s">
        <v>90</v>
      </c>
      <c r="E39" t="s">
        <v>91</v>
      </c>
      <c r="F39">
        <f>_xlfn.IFNA(VLOOKUP(TablaPrecios[[#This Row],[Producto]],'[1]Costo Materia Prima'!A$3:K$424,3,FALSE),"")</f>
        <v>8</v>
      </c>
      <c r="G39" t="str">
        <f>_xlfn.IFNA(VLOOKUP(TablaPrecios[[#This Row],[Producto]],'[1]Costo Materia Prima'!A$3:K$424,4,FALSE),"")</f>
        <v>KG</v>
      </c>
      <c r="H39" s="5">
        <f>_xlfn.IFNA(VLOOKUP(TablaPrecios[[#This Row],[Producto]],'[1]Costo Materia Prima'!A$3:K$424,5,FALSE),"")</f>
        <v>2525.73</v>
      </c>
      <c r="I39" s="5">
        <f>IFERROR(TablaPrecios[[#This Row],[Precio]]/TablaPrecios[[#This Row],[Cantidad]],0)</f>
        <v>315.71625</v>
      </c>
      <c r="J39" t="str">
        <f>_xlfn.IFNA(VLOOKUP(TablaPrecios[[#This Row],[Producto]],'[1]Costo Materia Prima'!A$3:K$424,8,FALSE),"")</f>
        <v>KG</v>
      </c>
      <c r="K39" t="str">
        <f>_xlfn.IFNA(VLOOKUP(TablaPrecios[[#This Row],[Producto]],'[1]Costo Materia Prima'!A$3:K$424,9,FALSE),"-")</f>
        <v>Verificado</v>
      </c>
      <c r="L39" s="96">
        <f>_xlfn.IFNA(VLOOKUP(TablaPrecios[[#This Row],[Producto]],'[1]Costo Materia Prima'!A$3:K$424,11,FALSE),"")</f>
        <v>46042</v>
      </c>
    </row>
    <row r="40" spans="1:12" x14ac:dyDescent="0.2">
      <c r="A40" t="s">
        <v>92</v>
      </c>
      <c r="B40" t="s">
        <v>93</v>
      </c>
      <c r="C40" s="81" t="s">
        <v>94</v>
      </c>
      <c r="D40" t="s">
        <v>95</v>
      </c>
      <c r="E40" t="s">
        <v>96</v>
      </c>
      <c r="F40">
        <f>_xlfn.IFNA(VLOOKUP(TablaPrecios[[#This Row],[Producto]],'[1]Costo Materia Prima'!A$3:K$424,3,FALSE),"")</f>
        <v>550</v>
      </c>
      <c r="G40" t="str">
        <f>_xlfn.IFNA(VLOOKUP(TablaPrecios[[#This Row],[Producto]],'[1]Costo Materia Prima'!A$3:K$424,4,FALSE),"")</f>
        <v>KG</v>
      </c>
      <c r="H40" s="5">
        <f>_xlfn.IFNA(VLOOKUP(TablaPrecios[[#This Row],[Producto]],'[1]Costo Materia Prima'!A$3:K$424,5,FALSE),"")</f>
        <v>18518.759999999998</v>
      </c>
      <c r="I40" s="5">
        <f>IFERROR(TablaPrecios[[#This Row],[Precio]]/TablaPrecios[[#This Row],[Cantidad]],0)</f>
        <v>33.670472727272724</v>
      </c>
      <c r="J40" t="str">
        <f>_xlfn.IFNA(VLOOKUP(TablaPrecios[[#This Row],[Producto]],'[1]Costo Materia Prima'!A$3:K$424,8,FALSE),"")</f>
        <v>KG</v>
      </c>
      <c r="K40" t="str">
        <f>_xlfn.IFNA(VLOOKUP(TablaPrecios[[#This Row],[Producto]],'[1]Costo Materia Prima'!A$3:K$424,9,FALSE),"-")</f>
        <v>Verificado</v>
      </c>
      <c r="L40" s="96">
        <f>_xlfn.IFNA(VLOOKUP(TablaPrecios[[#This Row],[Producto]],'[1]Costo Materia Prima'!A$3:K$424,11,FALSE),"")</f>
        <v>46042</v>
      </c>
    </row>
    <row r="41" spans="1:12" x14ac:dyDescent="0.2">
      <c r="A41" t="s">
        <v>97</v>
      </c>
      <c r="B41" t="s">
        <v>98</v>
      </c>
      <c r="C41" s="81">
        <v>7501017003167</v>
      </c>
      <c r="D41" t="s">
        <v>99</v>
      </c>
      <c r="E41" t="s">
        <v>100</v>
      </c>
      <c r="F41">
        <f>_xlfn.IFNA(VLOOKUP(TablaPrecios[[#This Row],[Producto]],'[1]Costo Materia Prima'!A$3:K$424,3,FALSE),"")</f>
        <v>1</v>
      </c>
      <c r="G41" t="str">
        <f>_xlfn.IFNA(VLOOKUP(TablaPrecios[[#This Row],[Producto]],'[1]Costo Materia Prima'!A$3:K$424,4,FALSE),"")</f>
        <v>KG</v>
      </c>
      <c r="H41" s="5">
        <f>_xlfn.IFNA(VLOOKUP(TablaPrecios[[#This Row],[Producto]],'[1]Costo Materia Prima'!A$3:K$424,5,FALSE),"")</f>
        <v>60.08</v>
      </c>
      <c r="I41" s="5">
        <f>IFERROR(TablaPrecios[[#This Row],[Precio]]/TablaPrecios[[#This Row],[Cantidad]],0)</f>
        <v>60.08</v>
      </c>
      <c r="J41" t="str">
        <f>_xlfn.IFNA(VLOOKUP(TablaPrecios[[#This Row],[Producto]],'[1]Costo Materia Prima'!A$3:K$424,8,FALSE),"")</f>
        <v>KG</v>
      </c>
      <c r="K41" t="str">
        <f>_xlfn.IFNA(VLOOKUP(TablaPrecios[[#This Row],[Producto]],'[1]Costo Materia Prima'!A$3:K$424,9,FALSE),"-")</f>
        <v>Verificado</v>
      </c>
      <c r="L41" s="96">
        <f>_xlfn.IFNA(VLOOKUP(TablaPrecios[[#This Row],[Producto]],'[1]Costo Materia Prima'!A$3:K$424,11,FALSE),"")</f>
        <v>46024</v>
      </c>
    </row>
    <row r="42" spans="1:12" x14ac:dyDescent="0.2">
      <c r="A42" t="s">
        <v>97</v>
      </c>
      <c r="B42" t="s">
        <v>98</v>
      </c>
      <c r="C42" s="81">
        <v>7501017002399</v>
      </c>
      <c r="D42" t="s">
        <v>101</v>
      </c>
      <c r="E42" t="s">
        <v>102</v>
      </c>
      <c r="F42">
        <f>_xlfn.IFNA(VLOOKUP(TablaPrecios[[#This Row],[Producto]],'[1]Costo Materia Prima'!A$3:K$424,3,FALSE),"")</f>
        <v>33</v>
      </c>
      <c r="G42" t="str">
        <f>_xlfn.IFNA(VLOOKUP(TablaPrecios[[#This Row],[Producto]],'[1]Costo Materia Prima'!A$3:K$424,4,FALSE),"")</f>
        <v>KG</v>
      </c>
      <c r="H42" s="5">
        <f>_xlfn.IFNA(VLOOKUP(TablaPrecios[[#This Row],[Producto]],'[1]Costo Materia Prima'!A$3:K$424,5,FALSE),"")</f>
        <v>2230</v>
      </c>
      <c r="I42" s="5">
        <f>IFERROR(TablaPrecios[[#This Row],[Precio]]/TablaPrecios[[#This Row],[Cantidad]],0)</f>
        <v>67.575757575757578</v>
      </c>
      <c r="J42" t="str">
        <f>_xlfn.IFNA(VLOOKUP(TablaPrecios[[#This Row],[Producto]],'[1]Costo Materia Prima'!A$3:K$424,8,FALSE),"")</f>
        <v>KG</v>
      </c>
      <c r="K42" t="str">
        <f>_xlfn.IFNA(VLOOKUP(TablaPrecios[[#This Row],[Producto]],'[1]Costo Materia Prima'!A$3:K$424,9,FALSE),"-")</f>
        <v>Verificado</v>
      </c>
      <c r="L42" s="96">
        <f>_xlfn.IFNA(VLOOKUP(TablaPrecios[[#This Row],[Producto]],'[1]Costo Materia Prima'!A$3:K$424,11,FALSE),"")</f>
        <v>46024</v>
      </c>
    </row>
    <row r="43" spans="1:12" x14ac:dyDescent="0.2">
      <c r="A43" t="s">
        <v>97</v>
      </c>
      <c r="B43" t="s">
        <v>98</v>
      </c>
      <c r="C43" s="81">
        <v>7501017003532</v>
      </c>
      <c r="D43" t="s">
        <v>103</v>
      </c>
      <c r="E43" t="s">
        <v>104</v>
      </c>
      <c r="F43">
        <f>_xlfn.IFNA(VLOOKUP(TablaPrecios[[#This Row],[Producto]],'[1]Costo Materia Prima'!A$3:K$424,3,FALSE),"")</f>
        <v>13.6</v>
      </c>
      <c r="G43" t="str">
        <f>_xlfn.IFNA(VLOOKUP(TablaPrecios[[#This Row],[Producto]],'[1]Costo Materia Prima'!A$3:K$424,4,FALSE),"")</f>
        <v>KG</v>
      </c>
      <c r="H43" s="5">
        <f>_xlfn.IFNA(VLOOKUP(TablaPrecios[[#This Row],[Producto]],'[1]Costo Materia Prima'!A$3:K$424,5,FALSE),"")</f>
        <v>1037</v>
      </c>
      <c r="I43" s="5">
        <f>IFERROR(TablaPrecios[[#This Row],[Precio]]/TablaPrecios[[#This Row],[Cantidad]],0)</f>
        <v>76.25</v>
      </c>
      <c r="J43" t="str">
        <f>_xlfn.IFNA(VLOOKUP(TablaPrecios[[#This Row],[Producto]],'[1]Costo Materia Prima'!A$3:K$424,8,FALSE),"")</f>
        <v>KG</v>
      </c>
      <c r="K43" t="str">
        <f>_xlfn.IFNA(VLOOKUP(TablaPrecios[[#This Row],[Producto]],'[1]Costo Materia Prima'!A$3:K$424,9,FALSE),"-")</f>
        <v>Verificado</v>
      </c>
      <c r="L43" s="96">
        <f>_xlfn.IFNA(VLOOKUP(TablaPrecios[[#This Row],[Producto]],'[1]Costo Materia Prima'!A$3:K$424,11,FALSE),"")</f>
        <v>46042</v>
      </c>
    </row>
    <row r="44" spans="1:12" x14ac:dyDescent="0.2">
      <c r="A44" t="s">
        <v>97</v>
      </c>
      <c r="B44" t="s">
        <v>98</v>
      </c>
      <c r="C44" s="81"/>
      <c r="D44" t="s">
        <v>105</v>
      </c>
      <c r="E44" t="s">
        <v>106</v>
      </c>
      <c r="F44">
        <f>_xlfn.IFNA(VLOOKUP(TablaPrecios[[#This Row],[Producto]],'[1]Costo Materia Prima'!A$3:K$424,3,FALSE),"")</f>
        <v>20.399999999999999</v>
      </c>
      <c r="G44" t="str">
        <f>_xlfn.IFNA(VLOOKUP(TablaPrecios[[#This Row],[Producto]],'[1]Costo Materia Prima'!A$3:K$424,4,FALSE),"")</f>
        <v>KG</v>
      </c>
      <c r="H44" s="5">
        <f>_xlfn.IFNA(VLOOKUP(TablaPrecios[[#This Row],[Producto]],'[1]Costo Materia Prima'!A$3:K$424,5,FALSE),"")</f>
        <v>1371.88</v>
      </c>
      <c r="I44" s="5">
        <f>IFERROR(TablaPrecios[[#This Row],[Precio]]/TablaPrecios[[#This Row],[Cantidad]],0)</f>
        <v>67.249019607843152</v>
      </c>
      <c r="J44" t="str">
        <f>_xlfn.IFNA(VLOOKUP(TablaPrecios[[#This Row],[Producto]],'[1]Costo Materia Prima'!A$3:K$424,8,FALSE),"")</f>
        <v>KG</v>
      </c>
      <c r="K44" t="str">
        <f>_xlfn.IFNA(VLOOKUP(TablaPrecios[[#This Row],[Producto]],'[1]Costo Materia Prima'!A$3:K$424,9,FALSE),"-")</f>
        <v>Verificado</v>
      </c>
      <c r="L44" s="96">
        <f>_xlfn.IFNA(VLOOKUP(TablaPrecios[[#This Row],[Producto]],'[1]Costo Materia Prima'!A$3:K$424,11,FALSE),"")</f>
        <v>46024</v>
      </c>
    </row>
    <row r="45" spans="1:12" x14ac:dyDescent="0.2">
      <c r="A45" t="s">
        <v>107</v>
      </c>
      <c r="B45" t="s">
        <v>107</v>
      </c>
      <c r="C45" s="81"/>
      <c r="D45" t="s">
        <v>108</v>
      </c>
      <c r="E45" t="s">
        <v>109</v>
      </c>
      <c r="F45">
        <f>_xlfn.IFNA(VLOOKUP(TablaPrecios[[#This Row],[Producto]],'[1]Costo Materia Prima'!A$3:K$424,3,FALSE),"")</f>
        <v>600</v>
      </c>
      <c r="G45" t="str">
        <f>_xlfn.IFNA(VLOOKUP(TablaPrecios[[#This Row],[Producto]],'[1]Costo Materia Prima'!A$3:K$424,4,FALSE),"")</f>
        <v>PZ</v>
      </c>
      <c r="H45" s="5">
        <f>_xlfn.IFNA(VLOOKUP(TablaPrecios[[#This Row],[Producto]],'[1]Costo Materia Prima'!A$3:K$424,5,FALSE),"")</f>
        <v>3375.42</v>
      </c>
      <c r="I45" s="5">
        <f>IFERROR(TablaPrecios[[#This Row],[Precio]]/TablaPrecios[[#This Row],[Cantidad]],0)</f>
        <v>5.6257000000000001</v>
      </c>
      <c r="J45" t="str">
        <f>_xlfn.IFNA(VLOOKUP(TablaPrecios[[#This Row],[Producto]],'[1]Costo Materia Prima'!A$3:K$424,8,FALSE),"")</f>
        <v>PZ</v>
      </c>
      <c r="K45" t="str">
        <f>_xlfn.IFNA(VLOOKUP(TablaPrecios[[#This Row],[Producto]],'[1]Costo Materia Prima'!A$3:K$424,9,FALSE),"-")</f>
        <v>Verificado</v>
      </c>
      <c r="L45" s="96">
        <f>_xlfn.IFNA(VLOOKUP(TablaPrecios[[#This Row],[Producto]],'[1]Costo Materia Prima'!A$3:K$424,11,FALSE),"")</f>
        <v>46042</v>
      </c>
    </row>
    <row r="46" spans="1:12" x14ac:dyDescent="0.2">
      <c r="A46" t="s">
        <v>107</v>
      </c>
      <c r="B46" t="s">
        <v>107</v>
      </c>
      <c r="C46" s="81"/>
      <c r="D46" t="s">
        <v>110</v>
      </c>
      <c r="E46" t="s">
        <v>111</v>
      </c>
      <c r="F46">
        <f>_xlfn.IFNA(VLOOKUP(TablaPrecios[[#This Row],[Producto]],'[1]Costo Materia Prima'!A$3:K$424,3,FALSE),"")</f>
        <v>11500</v>
      </c>
      <c r="G46" t="str">
        <f>_xlfn.IFNA(VLOOKUP(TablaPrecios[[#This Row],[Producto]],'[1]Costo Materia Prima'!A$3:K$424,4,FALSE),"")</f>
        <v>PZ</v>
      </c>
      <c r="H46" s="5">
        <f>_xlfn.IFNA(VLOOKUP(TablaPrecios[[#This Row],[Producto]],'[1]Costo Materia Prima'!A$3:K$424,5,FALSE),"")</f>
        <v>4140</v>
      </c>
      <c r="I46" s="5">
        <f>IFERROR(TablaPrecios[[#This Row],[Precio]]/TablaPrecios[[#This Row],[Cantidad]],0)</f>
        <v>0.36</v>
      </c>
      <c r="J46" t="str">
        <f>_xlfn.IFNA(VLOOKUP(TablaPrecios[[#This Row],[Producto]],'[1]Costo Materia Prima'!A$3:K$424,8,FALSE),"")</f>
        <v>PZ</v>
      </c>
      <c r="K46" t="str">
        <f>_xlfn.IFNA(VLOOKUP(TablaPrecios[[#This Row],[Producto]],'[1]Costo Materia Prima'!A$3:K$424,9,FALSE),"-")</f>
        <v>Verificado</v>
      </c>
      <c r="L46" s="96">
        <f>_xlfn.IFNA(VLOOKUP(TablaPrecios[[#This Row],[Producto]],'[1]Costo Materia Prima'!A$3:K$424,11,FALSE),"")</f>
        <v>46024</v>
      </c>
    </row>
    <row r="47" spans="1:12" x14ac:dyDescent="0.2">
      <c r="A47" t="s">
        <v>107</v>
      </c>
      <c r="B47" t="s">
        <v>107</v>
      </c>
      <c r="C47" s="81" t="s">
        <v>112</v>
      </c>
      <c r="D47" t="s">
        <v>113</v>
      </c>
      <c r="E47" t="s">
        <v>114</v>
      </c>
      <c r="F47">
        <f>_xlfn.IFNA(VLOOKUP(TablaPrecios[[#This Row],[Producto]],'[1]Costo Materia Prima'!A$3:K$424,3,FALSE),"")</f>
        <v>20000</v>
      </c>
      <c r="G47" t="str">
        <f>_xlfn.IFNA(VLOOKUP(TablaPrecios[[#This Row],[Producto]],'[1]Costo Materia Prima'!A$3:K$424,4,FALSE),"")</f>
        <v>PZ</v>
      </c>
      <c r="H47" s="5">
        <f>_xlfn.IFNA(VLOOKUP(TablaPrecios[[#This Row],[Producto]],'[1]Costo Materia Prima'!A$3:K$424,5,FALSE),"")</f>
        <v>8005.88</v>
      </c>
      <c r="I47" s="5">
        <f>IFERROR(TablaPrecios[[#This Row],[Precio]]/TablaPrecios[[#This Row],[Cantidad]],0)</f>
        <v>0.40029399999999998</v>
      </c>
      <c r="J47" t="str">
        <f>_xlfn.IFNA(VLOOKUP(TablaPrecios[[#This Row],[Producto]],'[1]Costo Materia Prima'!A$3:K$424,8,FALSE),"")</f>
        <v>PZ</v>
      </c>
      <c r="K47" t="str">
        <f>_xlfn.IFNA(VLOOKUP(TablaPrecios[[#This Row],[Producto]],'[1]Costo Materia Prima'!A$3:K$424,9,FALSE),"-")</f>
        <v>Verificado</v>
      </c>
      <c r="L47" s="96">
        <f>_xlfn.IFNA(VLOOKUP(TablaPrecios[[#This Row],[Producto]],'[1]Costo Materia Prima'!A$3:K$424,11,FALSE),"")</f>
        <v>46042</v>
      </c>
    </row>
    <row r="48" spans="1:12" x14ac:dyDescent="0.2">
      <c r="A48" t="s">
        <v>107</v>
      </c>
      <c r="B48" t="s">
        <v>107</v>
      </c>
      <c r="C48" s="81"/>
      <c r="D48" t="s">
        <v>115</v>
      </c>
      <c r="E48" t="s">
        <v>115</v>
      </c>
      <c r="F48">
        <f>_xlfn.IFNA(VLOOKUP(TablaPrecios[[#This Row],[Producto]],'[1]Costo Materia Prima'!A$3:K$424,3,FALSE),"")</f>
        <v>74</v>
      </c>
      <c r="G48" t="str">
        <f>_xlfn.IFNA(VLOOKUP(TablaPrecios[[#This Row],[Producto]],'[1]Costo Materia Prima'!A$3:K$424,4,FALSE),"")</f>
        <v>PZ</v>
      </c>
      <c r="H48" s="5">
        <f>_xlfn.IFNA(VLOOKUP(TablaPrecios[[#This Row],[Producto]],'[1]Costo Materia Prima'!A$3:K$424,5,FALSE),"")</f>
        <v>537.98</v>
      </c>
      <c r="I48" s="5">
        <f>IFERROR(TablaPrecios[[#This Row],[Precio]]/TablaPrecios[[#This Row],[Cantidad]],0)</f>
        <v>7.2700000000000005</v>
      </c>
      <c r="J48" t="str">
        <f>_xlfn.IFNA(VLOOKUP(TablaPrecios[[#This Row],[Producto]],'[1]Costo Materia Prima'!A$3:K$424,8,FALSE),"")</f>
        <v>PZ</v>
      </c>
      <c r="K48" t="str">
        <f>_xlfn.IFNA(VLOOKUP(TablaPrecios[[#This Row],[Producto]],'[1]Costo Materia Prima'!A$3:K$424,9,FALSE),"-")</f>
        <v>Verificado</v>
      </c>
      <c r="L48" s="96">
        <f>_xlfn.IFNA(VLOOKUP(TablaPrecios[[#This Row],[Producto]],'[1]Costo Materia Prima'!A$3:K$424,11,FALSE),"")</f>
        <v>45862</v>
      </c>
    </row>
    <row r="49" spans="1:12" x14ac:dyDescent="0.2">
      <c r="A49" t="s">
        <v>107</v>
      </c>
      <c r="B49" t="s">
        <v>107</v>
      </c>
      <c r="C49" s="81"/>
      <c r="D49" t="s">
        <v>116</v>
      </c>
      <c r="E49" t="s">
        <v>116</v>
      </c>
      <c r="F49">
        <f>_xlfn.IFNA(VLOOKUP(TablaPrecios[[#This Row],[Producto]],'[1]Costo Materia Prima'!A$3:K$424,3,FALSE),"")</f>
        <v>189</v>
      </c>
      <c r="G49" t="str">
        <f>_xlfn.IFNA(VLOOKUP(TablaPrecios[[#This Row],[Producto]],'[1]Costo Materia Prima'!A$3:K$424,4,FALSE),"")</f>
        <v>PZ</v>
      </c>
      <c r="H49" s="5">
        <f>_xlfn.IFNA(VLOOKUP(TablaPrecios[[#This Row],[Producto]],'[1]Costo Materia Prima'!A$3:K$424,5,FALSE),"")</f>
        <v>1563.03</v>
      </c>
      <c r="I49" s="5">
        <f>IFERROR(TablaPrecios[[#This Row],[Precio]]/TablaPrecios[[#This Row],[Cantidad]],0)</f>
        <v>8.27</v>
      </c>
      <c r="J49" t="str">
        <f>_xlfn.IFNA(VLOOKUP(TablaPrecios[[#This Row],[Producto]],'[1]Costo Materia Prima'!A$3:K$424,8,FALSE),"")</f>
        <v>PZ</v>
      </c>
      <c r="K49" t="str">
        <f>_xlfn.IFNA(VLOOKUP(TablaPrecios[[#This Row],[Producto]],'[1]Costo Materia Prima'!A$3:K$424,9,FALSE),"-")</f>
        <v>Verificado</v>
      </c>
      <c r="L49" s="96">
        <f>_xlfn.IFNA(VLOOKUP(TablaPrecios[[#This Row],[Producto]],'[1]Costo Materia Prima'!A$3:K$424,11,FALSE),"")</f>
        <v>45862</v>
      </c>
    </row>
    <row r="50" spans="1:12" x14ac:dyDescent="0.2">
      <c r="A50" t="s">
        <v>107</v>
      </c>
      <c r="B50" t="s">
        <v>107</v>
      </c>
      <c r="C50" s="81"/>
      <c r="D50" t="s">
        <v>117</v>
      </c>
      <c r="E50" t="s">
        <v>117</v>
      </c>
      <c r="F50">
        <f>_xlfn.IFNA(VLOOKUP(TablaPrecios[[#This Row],[Producto]],'[1]Costo Materia Prima'!A$3:K$424,3,FALSE),"")</f>
        <v>122</v>
      </c>
      <c r="G50" t="str">
        <f>_xlfn.IFNA(VLOOKUP(TablaPrecios[[#This Row],[Producto]],'[1]Costo Materia Prima'!A$3:K$424,4,FALSE),"")</f>
        <v>PZ</v>
      </c>
      <c r="H50" s="5">
        <f>_xlfn.IFNA(VLOOKUP(TablaPrecios[[#This Row],[Producto]],'[1]Costo Materia Prima'!A$3:K$424,5,FALSE),"")</f>
        <v>1277.3399999999999</v>
      </c>
      <c r="I50" s="5">
        <f>IFERROR(TablaPrecios[[#This Row],[Precio]]/TablaPrecios[[#This Row],[Cantidad]],0)</f>
        <v>10.469999999999999</v>
      </c>
      <c r="J50" t="str">
        <f>_xlfn.IFNA(VLOOKUP(TablaPrecios[[#This Row],[Producto]],'[1]Costo Materia Prima'!A$3:K$424,8,FALSE),"")</f>
        <v>PZ</v>
      </c>
      <c r="K50" t="str">
        <f>_xlfn.IFNA(VLOOKUP(TablaPrecios[[#This Row],[Producto]],'[1]Costo Materia Prima'!A$3:K$424,9,FALSE),"-")</f>
        <v>Verificado</v>
      </c>
      <c r="L50" s="96">
        <f>_xlfn.IFNA(VLOOKUP(TablaPrecios[[#This Row],[Producto]],'[1]Costo Materia Prima'!A$3:K$424,11,FALSE),"")</f>
        <v>45862</v>
      </c>
    </row>
    <row r="51" spans="1:12" x14ac:dyDescent="0.2">
      <c r="A51" t="s">
        <v>107</v>
      </c>
      <c r="B51" t="s">
        <v>107</v>
      </c>
      <c r="C51" s="81"/>
      <c r="D51" t="s">
        <v>118</v>
      </c>
      <c r="E51" t="s">
        <v>118</v>
      </c>
      <c r="F51">
        <f>_xlfn.IFNA(VLOOKUP(TablaPrecios[[#This Row],[Producto]],'[1]Costo Materia Prima'!A$3:K$424,3,FALSE),"")</f>
        <v>0</v>
      </c>
      <c r="G51" t="str">
        <f>_xlfn.IFNA(VLOOKUP(TablaPrecios[[#This Row],[Producto]],'[1]Costo Materia Prima'!A$3:K$424,4,FALSE),"")</f>
        <v>PZ</v>
      </c>
      <c r="H51" s="5">
        <f>_xlfn.IFNA(VLOOKUP(TablaPrecios[[#This Row],[Producto]],'[1]Costo Materia Prima'!A$3:K$424,5,FALSE),"")</f>
        <v>0</v>
      </c>
      <c r="I51" s="5">
        <f>IFERROR(TablaPrecios[[#This Row],[Precio]]/TablaPrecios[[#This Row],[Cantidad]],0)</f>
        <v>0</v>
      </c>
      <c r="J51" t="str">
        <f>_xlfn.IFNA(VLOOKUP(TablaPrecios[[#This Row],[Producto]],'[1]Costo Materia Prima'!A$3:K$424,8,FALSE),"")</f>
        <v>PZ</v>
      </c>
      <c r="K51" t="str">
        <f>_xlfn.IFNA(VLOOKUP(TablaPrecios[[#This Row],[Producto]],'[1]Costo Materia Prima'!A$3:K$424,9,FALSE),"-")</f>
        <v>Verificado</v>
      </c>
      <c r="L51" s="96">
        <f>_xlfn.IFNA(VLOOKUP(TablaPrecios[[#This Row],[Producto]],'[1]Costo Materia Prima'!A$3:K$424,11,FALSE),"")</f>
        <v>45862</v>
      </c>
    </row>
    <row r="52" spans="1:12" x14ac:dyDescent="0.2">
      <c r="A52" t="s">
        <v>107</v>
      </c>
      <c r="B52" t="s">
        <v>107</v>
      </c>
      <c r="C52" s="81"/>
      <c r="D52" t="s">
        <v>119</v>
      </c>
      <c r="E52" t="s">
        <v>119</v>
      </c>
      <c r="F52">
        <f>_xlfn.IFNA(VLOOKUP(TablaPrecios[[#This Row],[Producto]],'[1]Costo Materia Prima'!A$3:K$424,3,FALSE),"")</f>
        <v>0</v>
      </c>
      <c r="G52" t="str">
        <f>_xlfn.IFNA(VLOOKUP(TablaPrecios[[#This Row],[Producto]],'[1]Costo Materia Prima'!A$3:K$424,4,FALSE),"")</f>
        <v>PZ</v>
      </c>
      <c r="H52" s="5">
        <f>_xlfn.IFNA(VLOOKUP(TablaPrecios[[#This Row],[Producto]],'[1]Costo Materia Prima'!A$3:K$424,5,FALSE),"")</f>
        <v>0</v>
      </c>
      <c r="I52" s="5">
        <f>IFERROR(TablaPrecios[[#This Row],[Precio]]/TablaPrecios[[#This Row],[Cantidad]],0)</f>
        <v>0</v>
      </c>
      <c r="J52" t="str">
        <f>_xlfn.IFNA(VLOOKUP(TablaPrecios[[#This Row],[Producto]],'[1]Costo Materia Prima'!A$3:K$424,8,FALSE),"")</f>
        <v>PZ</v>
      </c>
      <c r="K52" t="str">
        <f>_xlfn.IFNA(VLOOKUP(TablaPrecios[[#This Row],[Producto]],'[1]Costo Materia Prima'!A$3:K$424,9,FALSE),"-")</f>
        <v>Verificado</v>
      </c>
      <c r="L52" s="96">
        <f>_xlfn.IFNA(VLOOKUP(TablaPrecios[[#This Row],[Producto]],'[1]Costo Materia Prima'!A$3:K$424,11,FALSE),"")</f>
        <v>45862</v>
      </c>
    </row>
    <row r="53" spans="1:12" x14ac:dyDescent="0.2">
      <c r="A53" t="s">
        <v>120</v>
      </c>
      <c r="B53" t="s">
        <v>121</v>
      </c>
      <c r="C53" s="81"/>
      <c r="D53" t="s">
        <v>122</v>
      </c>
      <c r="E53" t="s">
        <v>123</v>
      </c>
      <c r="F53">
        <f>_xlfn.IFNA(VLOOKUP(TablaPrecios[[#This Row],[Producto]],'[1]Costo Materia Prima'!A$3:K$424,3,FALSE),"")</f>
        <v>0</v>
      </c>
      <c r="G53" t="str">
        <f>_xlfn.IFNA(VLOOKUP(TablaPrecios[[#This Row],[Producto]],'[1]Costo Materia Prima'!A$3:K$424,4,FALSE),"")</f>
        <v>PZ</v>
      </c>
      <c r="H53" s="5">
        <f>_xlfn.IFNA(VLOOKUP(TablaPrecios[[#This Row],[Producto]],'[1]Costo Materia Prima'!A$3:K$424,5,FALSE),"")</f>
        <v>0</v>
      </c>
      <c r="I53" s="5">
        <f>IFERROR(TablaPrecios[[#This Row],[Precio]]/TablaPrecios[[#This Row],[Cantidad]],0)</f>
        <v>0</v>
      </c>
      <c r="J53" t="str">
        <f>_xlfn.IFNA(VLOOKUP(TablaPrecios[[#This Row],[Producto]],'[1]Costo Materia Prima'!A$3:K$424,8,FALSE),"")</f>
        <v>PZ</v>
      </c>
      <c r="K53" t="str">
        <f>_xlfn.IFNA(VLOOKUP(TablaPrecios[[#This Row],[Producto]],'[1]Costo Materia Prima'!A$3:K$424,9,FALSE),"-")</f>
        <v>Verificado</v>
      </c>
      <c r="L53" s="96">
        <f>_xlfn.IFNA(VLOOKUP(TablaPrecios[[#This Row],[Producto]],'[1]Costo Materia Prima'!A$3:K$424,11,FALSE),"")</f>
        <v>46024</v>
      </c>
    </row>
    <row r="54" spans="1:12" x14ac:dyDescent="0.2">
      <c r="A54" t="s">
        <v>120</v>
      </c>
      <c r="B54" t="s">
        <v>121</v>
      </c>
      <c r="C54" s="81"/>
      <c r="D54" t="s">
        <v>124</v>
      </c>
      <c r="E54" t="s">
        <v>124</v>
      </c>
      <c r="F54">
        <f>_xlfn.IFNA(VLOOKUP(TablaPrecios[[#This Row],[Producto]],'[1]Costo Materia Prima'!A$3:K$424,3,FALSE),"")</f>
        <v>30</v>
      </c>
      <c r="G54" t="str">
        <f>_xlfn.IFNA(VLOOKUP(TablaPrecios[[#This Row],[Producto]],'[1]Costo Materia Prima'!A$3:K$424,4,FALSE),"")</f>
        <v>KG</v>
      </c>
      <c r="H54" s="5">
        <f>_xlfn.IFNA(VLOOKUP(TablaPrecios[[#This Row],[Producto]],'[1]Costo Materia Prima'!A$3:K$424,5,FALSE),"")</f>
        <v>1554</v>
      </c>
      <c r="I54" s="5">
        <f>IFERROR(TablaPrecios[[#This Row],[Precio]]/TablaPrecios[[#This Row],[Cantidad]],0)</f>
        <v>51.8</v>
      </c>
      <c r="J54" t="str">
        <f>_xlfn.IFNA(VLOOKUP(TablaPrecios[[#This Row],[Producto]],'[1]Costo Materia Prima'!A$3:K$424,8,FALSE),"")</f>
        <v>KG</v>
      </c>
      <c r="K54" t="str">
        <f>_xlfn.IFNA(VLOOKUP(TablaPrecios[[#This Row],[Producto]],'[1]Costo Materia Prima'!A$3:K$424,9,FALSE),"-")</f>
        <v>Verificado</v>
      </c>
      <c r="L54" s="96">
        <f>_xlfn.IFNA(VLOOKUP(TablaPrecios[[#This Row],[Producto]],'[1]Costo Materia Prima'!A$3:K$424,11,FALSE),"")</f>
        <v>46042</v>
      </c>
    </row>
    <row r="55" spans="1:12" x14ac:dyDescent="0.2">
      <c r="A55" t="s">
        <v>120</v>
      </c>
      <c r="B55" t="s">
        <v>121</v>
      </c>
      <c r="C55" s="81" t="s">
        <v>125</v>
      </c>
      <c r="D55" t="s">
        <v>126</v>
      </c>
      <c r="E55" t="s">
        <v>127</v>
      </c>
      <c r="F55">
        <f>_xlfn.IFNA(VLOOKUP(TablaPrecios[[#This Row],[Producto]],'[1]Costo Materia Prima'!A$3:K$424,3,FALSE),"")</f>
        <v>3.06</v>
      </c>
      <c r="G55" t="str">
        <f>_xlfn.IFNA(VLOOKUP(TablaPrecios[[#This Row],[Producto]],'[1]Costo Materia Prima'!A$3:K$424,4,FALSE),"")</f>
        <v>KG</v>
      </c>
      <c r="H55" s="5">
        <f>_xlfn.IFNA(VLOOKUP(TablaPrecios[[#This Row],[Producto]],'[1]Costo Materia Prima'!A$3:K$424,5,FALSE),"")</f>
        <v>414</v>
      </c>
      <c r="I55" s="5">
        <f>IFERROR(TablaPrecios[[#This Row],[Precio]]/TablaPrecios[[#This Row],[Cantidad]],0)</f>
        <v>135.29411764705881</v>
      </c>
      <c r="J55" t="str">
        <f>_xlfn.IFNA(VLOOKUP(TablaPrecios[[#This Row],[Producto]],'[1]Costo Materia Prima'!A$3:K$424,8,FALSE),"")</f>
        <v>KG</v>
      </c>
      <c r="K55" t="str">
        <f>_xlfn.IFNA(VLOOKUP(TablaPrecios[[#This Row],[Producto]],'[1]Costo Materia Prima'!A$3:K$424,9,FALSE),"-")</f>
        <v>Verificado</v>
      </c>
      <c r="L55" s="96">
        <f>_xlfn.IFNA(VLOOKUP(TablaPrecios[[#This Row],[Producto]],'[1]Costo Materia Prima'!A$3:K$424,11,FALSE),"")</f>
        <v>46024</v>
      </c>
    </row>
    <row r="56" spans="1:12" x14ac:dyDescent="0.2">
      <c r="A56" t="s">
        <v>120</v>
      </c>
      <c r="B56" t="s">
        <v>121</v>
      </c>
      <c r="C56" s="81"/>
      <c r="D56" t="s">
        <v>128</v>
      </c>
      <c r="E56" t="s">
        <v>129</v>
      </c>
      <c r="F56">
        <f>_xlfn.IFNA(VLOOKUP(TablaPrecios[[#This Row],[Producto]],'[1]Costo Materia Prima'!A$3:K$424,3,FALSE),"")</f>
        <v>10</v>
      </c>
      <c r="G56" t="str">
        <f>_xlfn.IFNA(VLOOKUP(TablaPrecios[[#This Row],[Producto]],'[1]Costo Materia Prima'!A$3:K$424,4,FALSE),"")</f>
        <v>KG</v>
      </c>
      <c r="H56" s="5">
        <f>_xlfn.IFNA(VLOOKUP(TablaPrecios[[#This Row],[Producto]],'[1]Costo Materia Prima'!A$3:K$424,5,FALSE),"")</f>
        <v>2560</v>
      </c>
      <c r="I56" s="5">
        <f>IFERROR(TablaPrecios[[#This Row],[Precio]]/TablaPrecios[[#This Row],[Cantidad]],0)</f>
        <v>256</v>
      </c>
      <c r="J56" t="str">
        <f>_xlfn.IFNA(VLOOKUP(TablaPrecios[[#This Row],[Producto]],'[1]Costo Materia Prima'!A$3:K$424,8,FALSE),"")</f>
        <v>KG</v>
      </c>
      <c r="K56" t="str">
        <f>_xlfn.IFNA(VLOOKUP(TablaPrecios[[#This Row],[Producto]],'[1]Costo Materia Prima'!A$3:K$424,9,FALSE),"-")</f>
        <v>Verificado</v>
      </c>
      <c r="L56" s="96">
        <f>_xlfn.IFNA(VLOOKUP(TablaPrecios[[#This Row],[Producto]],'[1]Costo Materia Prima'!A$3:K$424,11,FALSE),"")</f>
        <v>46042</v>
      </c>
    </row>
    <row r="57" spans="1:12" x14ac:dyDescent="0.2">
      <c r="A57" t="s">
        <v>130</v>
      </c>
      <c r="B57" t="s">
        <v>131</v>
      </c>
      <c r="C57" s="81"/>
      <c r="D57" t="s">
        <v>132</v>
      </c>
      <c r="E57" t="s">
        <v>133</v>
      </c>
      <c r="F57">
        <f>_xlfn.IFNA(VLOOKUP(TablaPrecios[[#This Row],[Producto]],'[1]Costo Materia Prima'!A$3:K$424,3,FALSE),"")</f>
        <v>2160</v>
      </c>
      <c r="G57" t="str">
        <f>_xlfn.IFNA(VLOOKUP(TablaPrecios[[#This Row],[Producto]],'[1]Costo Materia Prima'!A$3:K$424,4,FALSE),"")</f>
        <v>PZ/CART</v>
      </c>
      <c r="H57" s="5">
        <f>_xlfn.IFNA(VLOOKUP(TablaPrecios[[#This Row],[Producto]],'[1]Costo Materia Prima'!A$3:K$424,5,FALSE),"")</f>
        <v>3900.24</v>
      </c>
      <c r="I57" s="5">
        <f>IFERROR(TablaPrecios[[#This Row],[Precio]]/TablaPrecios[[#This Row],[Cantidad]],0)</f>
        <v>1.8056666666666665</v>
      </c>
      <c r="J57" t="str">
        <f>_xlfn.IFNA(VLOOKUP(TablaPrecios[[#This Row],[Producto]],'[1]Costo Materia Prima'!A$3:K$424,8,FALSE),"")</f>
        <v>PZ</v>
      </c>
      <c r="K57" t="str">
        <f>_xlfn.IFNA(VLOOKUP(TablaPrecios[[#This Row],[Producto]],'[1]Costo Materia Prima'!A$3:K$424,9,FALSE),"-")</f>
        <v>Verificado</v>
      </c>
      <c r="L57" s="96">
        <f>_xlfn.IFNA(VLOOKUP(TablaPrecios[[#This Row],[Producto]],'[1]Costo Materia Prima'!A$3:K$424,11,FALSE),"")</f>
        <v>46042</v>
      </c>
    </row>
    <row r="58" spans="1:12" x14ac:dyDescent="0.2">
      <c r="A58" t="s">
        <v>134</v>
      </c>
      <c r="B58" t="s">
        <v>134</v>
      </c>
      <c r="C58" s="81">
        <v>29519092450</v>
      </c>
      <c r="D58" t="s">
        <v>135</v>
      </c>
      <c r="E58" t="s">
        <v>136</v>
      </c>
      <c r="F58">
        <f>_xlfn.IFNA(VLOOKUP(TablaPrecios[[#This Row],[Producto]],'[1]Costo Materia Prima'!A$3:K$424,3,FALSE),"")</f>
        <v>0</v>
      </c>
      <c r="G58" t="str">
        <f>_xlfn.IFNA(VLOOKUP(TablaPrecios[[#This Row],[Producto]],'[1]Costo Materia Prima'!A$3:K$424,4,FALSE),"")</f>
        <v>KG</v>
      </c>
      <c r="H58" s="5">
        <f>_xlfn.IFNA(VLOOKUP(TablaPrecios[[#This Row],[Producto]],'[1]Costo Materia Prima'!A$3:K$424,5,FALSE),"")</f>
        <v>0</v>
      </c>
      <c r="I58" s="5">
        <f>IFERROR(TablaPrecios[[#This Row],[Precio]]/TablaPrecios[[#This Row],[Cantidad]],0)</f>
        <v>0</v>
      </c>
      <c r="J58" t="str">
        <f>_xlfn.IFNA(VLOOKUP(TablaPrecios[[#This Row],[Producto]],'[1]Costo Materia Prima'!A$3:K$424,8,FALSE),"")</f>
        <v>KG</v>
      </c>
      <c r="K58" t="str">
        <f>_xlfn.IFNA(VLOOKUP(TablaPrecios[[#This Row],[Producto]],'[1]Costo Materia Prima'!A$3:K$424,9,FALSE),"-")</f>
        <v>Verificado</v>
      </c>
      <c r="L58" s="96">
        <f>_xlfn.IFNA(VLOOKUP(TablaPrecios[[#This Row],[Producto]],'[1]Costo Materia Prima'!A$3:K$424,11,FALSE),"")</f>
        <v>46024</v>
      </c>
    </row>
    <row r="59" spans="1:12" x14ac:dyDescent="0.2">
      <c r="A59" t="s">
        <v>134</v>
      </c>
      <c r="B59" t="s">
        <v>134</v>
      </c>
      <c r="C59" s="81"/>
      <c r="D59" t="s">
        <v>137</v>
      </c>
      <c r="E59" t="s">
        <v>138</v>
      </c>
      <c r="F59">
        <f>_xlfn.IFNA(VLOOKUP(TablaPrecios[[#This Row],[Producto]],'[1]Costo Materia Prima'!A$3:K$424,3,FALSE),"")</f>
        <v>720</v>
      </c>
      <c r="G59" t="str">
        <f>_xlfn.IFNA(VLOOKUP(TablaPrecios[[#This Row],[Producto]],'[1]Costo Materia Prima'!A$3:K$424,4,FALSE),"")</f>
        <v>KG</v>
      </c>
      <c r="H59" s="5">
        <f>_xlfn.IFNA(VLOOKUP(TablaPrecios[[#This Row],[Producto]],'[1]Costo Materia Prima'!A$3:K$424,5,FALSE),"")</f>
        <v>38896</v>
      </c>
      <c r="I59" s="5">
        <f>IFERROR(TablaPrecios[[#This Row],[Precio]]/TablaPrecios[[#This Row],[Cantidad]],0)</f>
        <v>54.022222222222226</v>
      </c>
      <c r="J59" t="str">
        <f>_xlfn.IFNA(VLOOKUP(TablaPrecios[[#This Row],[Producto]],'[1]Costo Materia Prima'!A$3:K$424,8,FALSE),"")</f>
        <v>KG</v>
      </c>
      <c r="K59" t="str">
        <f>_xlfn.IFNA(VLOOKUP(TablaPrecios[[#This Row],[Producto]],'[1]Costo Materia Prima'!A$3:K$424,9,FALSE),"-")</f>
        <v>Verificado</v>
      </c>
      <c r="L59" s="96">
        <f>_xlfn.IFNA(VLOOKUP(TablaPrecios[[#This Row],[Producto]],'[1]Costo Materia Prima'!A$3:K$424,11,FALSE),"")</f>
        <v>46042</v>
      </c>
    </row>
    <row r="60" spans="1:12" x14ac:dyDescent="0.2">
      <c r="A60" t="s">
        <v>134</v>
      </c>
      <c r="B60" t="s">
        <v>134</v>
      </c>
      <c r="C60" s="81">
        <v>29519079936</v>
      </c>
      <c r="D60" t="s">
        <v>139</v>
      </c>
      <c r="E60" t="s">
        <v>140</v>
      </c>
      <c r="F60">
        <f>_xlfn.IFNA(VLOOKUP(TablaPrecios[[#This Row],[Producto]],'[1]Costo Materia Prima'!A$3:K$424,3,FALSE),"")</f>
        <v>0</v>
      </c>
      <c r="G60" t="str">
        <f>_xlfn.IFNA(VLOOKUP(TablaPrecios[[#This Row],[Producto]],'[1]Costo Materia Prima'!A$3:K$424,4,FALSE),"")</f>
        <v>KG</v>
      </c>
      <c r="H60" s="5">
        <f>_xlfn.IFNA(VLOOKUP(TablaPrecios[[#This Row],[Producto]],'[1]Costo Materia Prima'!A$3:K$424,5,FALSE),"")</f>
        <v>0</v>
      </c>
      <c r="I60" s="5">
        <f>IFERROR(TablaPrecios[[#This Row],[Precio]]/TablaPrecios[[#This Row],[Cantidad]],0)</f>
        <v>0</v>
      </c>
      <c r="J60" t="str">
        <f>_xlfn.IFNA(VLOOKUP(TablaPrecios[[#This Row],[Producto]],'[1]Costo Materia Prima'!A$3:K$424,8,FALSE),"")</f>
        <v>KG</v>
      </c>
      <c r="K60" t="str">
        <f>_xlfn.IFNA(VLOOKUP(TablaPrecios[[#This Row],[Producto]],'[1]Costo Materia Prima'!A$3:K$424,9,FALSE),"-")</f>
        <v>Verificado</v>
      </c>
      <c r="L60" s="96">
        <f>_xlfn.IFNA(VLOOKUP(TablaPrecios[[#This Row],[Producto]],'[1]Costo Materia Prima'!A$3:K$424,11,FALSE),"")</f>
        <v>46024</v>
      </c>
    </row>
    <row r="61" spans="1:12" x14ac:dyDescent="0.2">
      <c r="A61" t="s">
        <v>134</v>
      </c>
      <c r="B61" t="s">
        <v>134</v>
      </c>
      <c r="C61" s="81"/>
      <c r="D61" t="s">
        <v>141</v>
      </c>
      <c r="E61" t="s">
        <v>142</v>
      </c>
      <c r="F61">
        <f>_xlfn.IFNA(VLOOKUP(TablaPrecios[[#This Row],[Producto]],'[1]Costo Materia Prima'!A$3:K$424,3,FALSE),"")</f>
        <v>1632.96</v>
      </c>
      <c r="G61" t="str">
        <f>_xlfn.IFNA(VLOOKUP(TablaPrecios[[#This Row],[Producto]],'[1]Costo Materia Prima'!A$3:K$424,4,FALSE),"")</f>
        <v>KG</v>
      </c>
      <c r="H61" s="5">
        <f>_xlfn.IFNA(VLOOKUP(TablaPrecios[[#This Row],[Producto]],'[1]Costo Materia Prima'!A$3:K$424,5,FALSE),"")</f>
        <v>72841.600000000006</v>
      </c>
      <c r="I61" s="5">
        <f>IFERROR(TablaPrecios[[#This Row],[Precio]]/TablaPrecios[[#This Row],[Cantidad]],0)</f>
        <v>44.607093866353125</v>
      </c>
      <c r="J61" t="str">
        <f>_xlfn.IFNA(VLOOKUP(TablaPrecios[[#This Row],[Producto]],'[1]Costo Materia Prima'!A$3:K$424,8,FALSE),"")</f>
        <v>KG</v>
      </c>
      <c r="K61" t="str">
        <f>_xlfn.IFNA(VLOOKUP(TablaPrecios[[#This Row],[Producto]],'[1]Costo Materia Prima'!A$3:K$424,9,FALSE),"-")</f>
        <v>Verificado</v>
      </c>
      <c r="L61" s="96">
        <f>_xlfn.IFNA(VLOOKUP(TablaPrecios[[#This Row],[Producto]],'[1]Costo Materia Prima'!A$3:K$424,11,FALSE),"")</f>
        <v>46042</v>
      </c>
    </row>
    <row r="62" spans="1:12" x14ac:dyDescent="0.2">
      <c r="A62" t="s">
        <v>134</v>
      </c>
      <c r="B62" t="s">
        <v>134</v>
      </c>
      <c r="C62" s="81"/>
      <c r="D62" t="s">
        <v>143</v>
      </c>
      <c r="E62" t="s">
        <v>143</v>
      </c>
      <c r="F62">
        <f>_xlfn.IFNA(VLOOKUP(TablaPrecios[[#This Row],[Producto]],'[1]Costo Materia Prima'!A$3:K$424,3,FALSE),"")</f>
        <v>720</v>
      </c>
      <c r="G62" t="str">
        <f>_xlfn.IFNA(VLOOKUP(TablaPrecios[[#This Row],[Producto]],'[1]Costo Materia Prima'!A$3:K$424,4,FALSE),"")</f>
        <v>PZ</v>
      </c>
      <c r="H62" s="5">
        <f>_xlfn.IFNA(VLOOKUP(TablaPrecios[[#This Row],[Producto]],'[1]Costo Materia Prima'!A$3:K$424,5,FALSE),"")</f>
        <v>3921.51</v>
      </c>
      <c r="I62" s="5">
        <f>IFERROR(TablaPrecios[[#This Row],[Precio]]/TablaPrecios[[#This Row],[Cantidad]],0)</f>
        <v>5.4465416666666666</v>
      </c>
      <c r="J62" t="str">
        <f>_xlfn.IFNA(VLOOKUP(TablaPrecios[[#This Row],[Producto]],'[1]Costo Materia Prima'!A$3:K$424,8,FALSE),"")</f>
        <v>PZ</v>
      </c>
      <c r="K62" t="str">
        <f>_xlfn.IFNA(VLOOKUP(TablaPrecios[[#This Row],[Producto]],'[1]Costo Materia Prima'!A$3:K$424,9,FALSE),"-")</f>
        <v>Verificado</v>
      </c>
      <c r="L62" s="96">
        <f>_xlfn.IFNA(VLOOKUP(TablaPrecios[[#This Row],[Producto]],'[1]Costo Materia Prima'!A$3:K$424,11,FALSE),"")</f>
        <v>46024</v>
      </c>
    </row>
    <row r="63" spans="1:12" x14ac:dyDescent="0.2">
      <c r="C63" s="81"/>
      <c r="D63" t="s">
        <v>144</v>
      </c>
      <c r="E63" t="s">
        <v>144</v>
      </c>
      <c r="F63" t="str">
        <f>_xlfn.IFNA(VLOOKUP(TablaPrecios[[#This Row],[Producto]],'[1]Costo Materia Prima'!A$3:K$424,3,FALSE),"")</f>
        <v/>
      </c>
      <c r="G63" t="str">
        <f>_xlfn.IFNA(VLOOKUP(TablaPrecios[[#This Row],[Producto]],'[1]Costo Materia Prima'!A$3:K$424,4,FALSE),"")</f>
        <v/>
      </c>
      <c r="H63" s="5" t="str">
        <f>_xlfn.IFNA(VLOOKUP(TablaPrecios[[#This Row],[Producto]],'[1]Costo Materia Prima'!A$3:K$424,5,FALSE),"")</f>
        <v/>
      </c>
      <c r="I63" s="5">
        <f>IFERROR(TablaPrecios[[#This Row],[Precio]]/TablaPrecios[[#This Row],[Cantidad]],0)</f>
        <v>0</v>
      </c>
      <c r="J63" t="str">
        <f>_xlfn.IFNA(VLOOKUP(TablaPrecios[[#This Row],[Producto]],'[1]Costo Materia Prima'!A$3:K$424,8,FALSE),"")</f>
        <v/>
      </c>
      <c r="K63" t="str">
        <f>_xlfn.IFNA(VLOOKUP(TablaPrecios[[#This Row],[Producto]],'[1]Costo Materia Prima'!A$3:K$424,9,FALSE),"-")</f>
        <v>-</v>
      </c>
      <c r="L63" s="96" t="str">
        <f>_xlfn.IFNA(VLOOKUP(TablaPrecios[[#This Row],[Producto]],'[1]Costo Materia Prima'!A$3:K$424,11,FALSE),"")</f>
        <v/>
      </c>
    </row>
    <row r="64" spans="1:12" x14ac:dyDescent="0.2">
      <c r="A64" t="s">
        <v>145</v>
      </c>
      <c r="C64" s="81"/>
      <c r="D64" t="s">
        <v>146</v>
      </c>
      <c r="E64" t="s">
        <v>146</v>
      </c>
      <c r="F64">
        <f>_xlfn.IFNA(VLOOKUP(TablaPrecios[[#This Row],[Producto]],'[1]Costo Materia Prima'!A$3:K$424,3,FALSE),"")</f>
        <v>20</v>
      </c>
      <c r="G64" t="str">
        <f>_xlfn.IFNA(VLOOKUP(TablaPrecios[[#This Row],[Producto]],'[1]Costo Materia Prima'!A$3:K$424,4,FALSE),"")</f>
        <v>KG</v>
      </c>
      <c r="H64" s="5">
        <f>_xlfn.IFNA(VLOOKUP(TablaPrecios[[#This Row],[Producto]],'[1]Costo Materia Prima'!A$3:K$424,5,FALSE),"")</f>
        <v>1160</v>
      </c>
      <c r="I64" s="5">
        <f>IFERROR(TablaPrecios[[#This Row],[Precio]]/TablaPrecios[[#This Row],[Cantidad]],0)</f>
        <v>58</v>
      </c>
      <c r="J64" t="str">
        <f>_xlfn.IFNA(VLOOKUP(TablaPrecios[[#This Row],[Producto]],'[1]Costo Materia Prima'!A$3:K$424,8,FALSE),"")</f>
        <v>KG</v>
      </c>
      <c r="K64" t="str">
        <f>_xlfn.IFNA(VLOOKUP(TablaPrecios[[#This Row],[Producto]],'[1]Costo Materia Prima'!A$3:K$424,9,FALSE),"-")</f>
        <v>Verificado</v>
      </c>
      <c r="L64" s="96">
        <f>_xlfn.IFNA(VLOOKUP(TablaPrecios[[#This Row],[Producto]],'[1]Costo Materia Prima'!A$3:K$424,11,FALSE),"")</f>
        <v>46042</v>
      </c>
    </row>
    <row r="65" spans="1:12" x14ac:dyDescent="0.2">
      <c r="A65" t="s">
        <v>145</v>
      </c>
      <c r="B65" t="s">
        <v>33</v>
      </c>
      <c r="C65" s="81"/>
      <c r="D65" t="s">
        <v>147</v>
      </c>
      <c r="E65" t="s">
        <v>148</v>
      </c>
      <c r="F65">
        <f>_xlfn.IFNA(VLOOKUP(TablaPrecios[[#This Row],[Producto]],'[1]Costo Materia Prima'!A$3:K$424,3,FALSE),"")</f>
        <v>16.78</v>
      </c>
      <c r="G65" t="str">
        <f>_xlfn.IFNA(VLOOKUP(TablaPrecios[[#This Row],[Producto]],'[1]Costo Materia Prima'!A$3:K$424,4,FALSE),"")</f>
        <v>KG</v>
      </c>
      <c r="H65" s="5">
        <f>_xlfn.IFNA(VLOOKUP(TablaPrecios[[#This Row],[Producto]],'[1]Costo Materia Prima'!A$3:K$424,5,FALSE),"")</f>
        <v>1392.3</v>
      </c>
      <c r="I65" s="5">
        <f>IFERROR(TablaPrecios[[#This Row],[Precio]]/TablaPrecios[[#This Row],[Cantidad]],0)</f>
        <v>82.973778307508937</v>
      </c>
      <c r="J65" t="str">
        <f>_xlfn.IFNA(VLOOKUP(TablaPrecios[[#This Row],[Producto]],'[1]Costo Materia Prima'!A$3:K$424,8,FALSE),"")</f>
        <v>KG</v>
      </c>
      <c r="K65" t="str">
        <f>_xlfn.IFNA(VLOOKUP(TablaPrecios[[#This Row],[Producto]],'[1]Costo Materia Prima'!A$3:K$424,9,FALSE),"-")</f>
        <v>Verificado</v>
      </c>
      <c r="L65" s="96">
        <f>_xlfn.IFNA(VLOOKUP(TablaPrecios[[#This Row],[Producto]],'[1]Costo Materia Prima'!A$3:K$424,11,FALSE),"")</f>
        <v>46042</v>
      </c>
    </row>
    <row r="66" spans="1:12" x14ac:dyDescent="0.2">
      <c r="A66" t="s">
        <v>149</v>
      </c>
      <c r="B66" t="s">
        <v>150</v>
      </c>
      <c r="C66" s="81"/>
      <c r="D66" t="s">
        <v>151</v>
      </c>
      <c r="E66" t="s">
        <v>152</v>
      </c>
      <c r="F66">
        <f>_xlfn.IFNA(VLOOKUP(TablaPrecios[[#This Row],[Producto]],'[1]Costo Materia Prima'!A$3:K$424,3,FALSE),"")</f>
        <v>3</v>
      </c>
      <c r="G66" t="str">
        <f>_xlfn.IFNA(VLOOKUP(TablaPrecios[[#This Row],[Producto]],'[1]Costo Materia Prima'!A$3:K$424,4,FALSE),"")</f>
        <v>KG</v>
      </c>
      <c r="H66" s="5">
        <f>_xlfn.IFNA(VLOOKUP(TablaPrecios[[#This Row],[Producto]],'[1]Costo Materia Prima'!A$3:K$424,5,FALSE),"")</f>
        <v>1215</v>
      </c>
      <c r="I66" s="5">
        <f>IFERROR(TablaPrecios[[#This Row],[Precio]]/TablaPrecios[[#This Row],[Cantidad]],0)</f>
        <v>405</v>
      </c>
      <c r="J66" t="str">
        <f>_xlfn.IFNA(VLOOKUP(TablaPrecios[[#This Row],[Producto]],'[1]Costo Materia Prima'!A$3:K$424,8,FALSE),"")</f>
        <v>KG</v>
      </c>
      <c r="K66" t="str">
        <f>_xlfn.IFNA(VLOOKUP(TablaPrecios[[#This Row],[Producto]],'[1]Costo Materia Prima'!A$3:K$424,9,FALSE),"-")</f>
        <v>Verificado</v>
      </c>
      <c r="L66" s="96">
        <f>_xlfn.IFNA(VLOOKUP(TablaPrecios[[#This Row],[Producto]],'[1]Costo Materia Prima'!A$3:K$424,11,FALSE),"")</f>
        <v>46042</v>
      </c>
    </row>
    <row r="67" spans="1:12" x14ac:dyDescent="0.2">
      <c r="A67" t="s">
        <v>149</v>
      </c>
      <c r="B67" t="s">
        <v>150</v>
      </c>
      <c r="C67" s="81"/>
      <c r="D67" t="s">
        <v>153</v>
      </c>
      <c r="E67" t="s">
        <v>154</v>
      </c>
      <c r="F67">
        <f>_xlfn.IFNA(VLOOKUP(TablaPrecios[[#This Row],[Producto]],'[1]Costo Materia Prima'!A$3:K$424,3,FALSE),"")</f>
        <v>5</v>
      </c>
      <c r="G67" t="str">
        <f>_xlfn.IFNA(VLOOKUP(TablaPrecios[[#This Row],[Producto]],'[1]Costo Materia Prima'!A$3:K$424,4,FALSE),"")</f>
        <v>KG</v>
      </c>
      <c r="H67" s="5">
        <f>_xlfn.IFNA(VLOOKUP(TablaPrecios[[#This Row],[Producto]],'[1]Costo Materia Prima'!A$3:K$424,5,FALSE),"")</f>
        <v>195</v>
      </c>
      <c r="I67" s="5">
        <f>IFERROR(TablaPrecios[[#This Row],[Precio]]/TablaPrecios[[#This Row],[Cantidad]],0)</f>
        <v>39</v>
      </c>
      <c r="J67" t="str">
        <f>_xlfn.IFNA(VLOOKUP(TablaPrecios[[#This Row],[Producto]],'[1]Costo Materia Prima'!A$3:K$424,8,FALSE),"")</f>
        <v>KG</v>
      </c>
      <c r="K67" t="str">
        <f>_xlfn.IFNA(VLOOKUP(TablaPrecios[[#This Row],[Producto]],'[1]Costo Materia Prima'!A$3:K$424,9,FALSE),"-")</f>
        <v>Verificado</v>
      </c>
      <c r="L67" s="96">
        <f>_xlfn.IFNA(VLOOKUP(TablaPrecios[[#This Row],[Producto]],'[1]Costo Materia Prima'!A$3:K$424,11,FALSE),"")</f>
        <v>46042</v>
      </c>
    </row>
    <row r="68" spans="1:12" x14ac:dyDescent="0.2">
      <c r="A68" t="s">
        <v>149</v>
      </c>
      <c r="B68" t="s">
        <v>150</v>
      </c>
      <c r="C68" s="81"/>
      <c r="D68" t="s">
        <v>155</v>
      </c>
      <c r="E68" t="s">
        <v>156</v>
      </c>
      <c r="F68">
        <f>_xlfn.IFNA(VLOOKUP(TablaPrecios[[#This Row],[Producto]],'[1]Costo Materia Prima'!A$3:K$424,3,FALSE),"")</f>
        <v>6000</v>
      </c>
      <c r="G68" t="str">
        <f>_xlfn.IFNA(VLOOKUP(TablaPrecios[[#This Row],[Producto]],'[1]Costo Materia Prima'!A$3:K$424,4,FALSE),"")</f>
        <v>Unidad</v>
      </c>
      <c r="H68" s="5">
        <f>_xlfn.IFNA(VLOOKUP(TablaPrecios[[#This Row],[Producto]],'[1]Costo Materia Prima'!A$3:K$424,5,FALSE),"")</f>
        <v>780</v>
      </c>
      <c r="I68" s="5">
        <f>IFERROR(TablaPrecios[[#This Row],[Precio]]/TablaPrecios[[#This Row],[Cantidad]],0)</f>
        <v>0.13</v>
      </c>
      <c r="J68" t="str">
        <f>_xlfn.IFNA(VLOOKUP(TablaPrecios[[#This Row],[Producto]],'[1]Costo Materia Prima'!A$3:K$424,8,FALSE),"")</f>
        <v>UN</v>
      </c>
      <c r="K68" t="str">
        <f>_xlfn.IFNA(VLOOKUP(TablaPrecios[[#This Row],[Producto]],'[1]Costo Materia Prima'!A$3:K$424,9,FALSE),"-")</f>
        <v>Verificado</v>
      </c>
      <c r="L68" s="96">
        <f>_xlfn.IFNA(VLOOKUP(TablaPrecios[[#This Row],[Producto]],'[1]Costo Materia Prima'!A$3:K$424,11,FALSE),"")</f>
        <v>46042</v>
      </c>
    </row>
    <row r="69" spans="1:12" x14ac:dyDescent="0.2">
      <c r="A69" t="s">
        <v>149</v>
      </c>
      <c r="C69" s="81"/>
      <c r="D69" t="s">
        <v>157</v>
      </c>
      <c r="E69" t="s">
        <v>158</v>
      </c>
      <c r="F69">
        <f>_xlfn.IFNA(VLOOKUP(TablaPrecios[[#This Row],[Producto]],'[1]Costo Materia Prima'!A$3:K$424,3,FALSE),"")</f>
        <v>3000</v>
      </c>
      <c r="G69" t="str">
        <f>_xlfn.IFNA(VLOOKUP(TablaPrecios[[#This Row],[Producto]],'[1]Costo Materia Prima'!A$3:K$424,4,FALSE),"")</f>
        <v>Unidad</v>
      </c>
      <c r="H69" s="5">
        <f>_xlfn.IFNA(VLOOKUP(TablaPrecios[[#This Row],[Producto]],'[1]Costo Materia Prima'!A$3:K$424,5,FALSE),"")</f>
        <v>1139.99</v>
      </c>
      <c r="I69" s="5">
        <f>IFERROR(TablaPrecios[[#This Row],[Precio]]/TablaPrecios[[#This Row],[Cantidad]],0)</f>
        <v>0.37999666666666665</v>
      </c>
      <c r="J69" t="str">
        <f>_xlfn.IFNA(VLOOKUP(TablaPrecios[[#This Row],[Producto]],'[1]Costo Materia Prima'!A$3:K$424,8,FALSE),"")</f>
        <v>UN</v>
      </c>
      <c r="K69" t="str">
        <f>_xlfn.IFNA(VLOOKUP(TablaPrecios[[#This Row],[Producto]],'[1]Costo Materia Prima'!A$3:K$424,9,FALSE),"-")</f>
        <v>Verificado</v>
      </c>
      <c r="L69" s="96">
        <f>_xlfn.IFNA(VLOOKUP(TablaPrecios[[#This Row],[Producto]],'[1]Costo Materia Prima'!A$3:K$424,11,FALSE),"")</f>
        <v>46042</v>
      </c>
    </row>
    <row r="70" spans="1:12" x14ac:dyDescent="0.2">
      <c r="A70" t="s">
        <v>149</v>
      </c>
      <c r="C70" s="81"/>
      <c r="D70" t="s">
        <v>159</v>
      </c>
      <c r="E70" t="s">
        <v>160</v>
      </c>
      <c r="F70">
        <f>_xlfn.IFNA(VLOOKUP(TablaPrecios[[#This Row],[Producto]],'[1]Costo Materia Prima'!A$3:K$424,3,FALSE),"")</f>
        <v>1000</v>
      </c>
      <c r="G70" t="str">
        <f>_xlfn.IFNA(VLOOKUP(TablaPrecios[[#This Row],[Producto]],'[1]Costo Materia Prima'!A$3:K$424,4,FALSE),"")</f>
        <v>PZ</v>
      </c>
      <c r="H70" s="5">
        <f>_xlfn.IFNA(VLOOKUP(TablaPrecios[[#This Row],[Producto]],'[1]Costo Materia Prima'!A$3:K$424,5,FALSE),"")</f>
        <v>834.66</v>
      </c>
      <c r="I70" s="5">
        <f>IFERROR(TablaPrecios[[#This Row],[Precio]]/TablaPrecios[[#This Row],[Cantidad]],0)</f>
        <v>0.83465999999999996</v>
      </c>
      <c r="J70" t="str">
        <f>_xlfn.IFNA(VLOOKUP(TablaPrecios[[#This Row],[Producto]],'[1]Costo Materia Prima'!A$3:K$424,8,FALSE),"")</f>
        <v>PZ</v>
      </c>
      <c r="K70" t="str">
        <f>_xlfn.IFNA(VLOOKUP(TablaPrecios[[#This Row],[Producto]],'[1]Costo Materia Prima'!A$3:K$424,9,FALSE),"-")</f>
        <v>Verificado</v>
      </c>
      <c r="L70" s="96">
        <f>_xlfn.IFNA(VLOOKUP(TablaPrecios[[#This Row],[Producto]],'[1]Costo Materia Prima'!A$3:K$424,11,FALSE),"")</f>
        <v>46024</v>
      </c>
    </row>
    <row r="71" spans="1:12" x14ac:dyDescent="0.2">
      <c r="A71" t="s">
        <v>149</v>
      </c>
      <c r="B71" t="s">
        <v>150</v>
      </c>
      <c r="C71" s="81"/>
      <c r="D71" t="s">
        <v>161</v>
      </c>
      <c r="E71" t="s">
        <v>162</v>
      </c>
      <c r="F71">
        <f>_xlfn.IFNA(VLOOKUP(TablaPrecios[[#This Row],[Producto]],'[1]Costo Materia Prima'!A$3:K$424,3,FALSE),"")</f>
        <v>0</v>
      </c>
      <c r="G71" t="str">
        <f>_xlfn.IFNA(VLOOKUP(TablaPrecios[[#This Row],[Producto]],'[1]Costo Materia Prima'!A$3:K$424,4,FALSE),"")</f>
        <v>KG</v>
      </c>
      <c r="H71" s="5">
        <f>_xlfn.IFNA(VLOOKUP(TablaPrecios[[#This Row],[Producto]],'[1]Costo Materia Prima'!A$3:K$424,5,FALSE),"")</f>
        <v>0</v>
      </c>
      <c r="I71" s="5">
        <f>IFERROR(TablaPrecios[[#This Row],[Precio]]/TablaPrecios[[#This Row],[Cantidad]],0)</f>
        <v>0</v>
      </c>
      <c r="J71" t="str">
        <f>_xlfn.IFNA(VLOOKUP(TablaPrecios[[#This Row],[Producto]],'[1]Costo Materia Prima'!A$3:K$424,8,FALSE),"")</f>
        <v>KG</v>
      </c>
      <c r="K71" t="str">
        <f>_xlfn.IFNA(VLOOKUP(TablaPrecios[[#This Row],[Producto]],'[1]Costo Materia Prima'!A$3:K$424,9,FALSE),"-")</f>
        <v>Verificado</v>
      </c>
      <c r="L71" s="96">
        <f>_xlfn.IFNA(VLOOKUP(TablaPrecios[[#This Row],[Producto]],'[1]Costo Materia Prima'!A$3:K$424,11,FALSE),"")</f>
        <v>46024</v>
      </c>
    </row>
    <row r="72" spans="1:12" x14ac:dyDescent="0.2">
      <c r="A72" t="s">
        <v>163</v>
      </c>
      <c r="B72" t="s">
        <v>163</v>
      </c>
      <c r="C72" s="81"/>
      <c r="D72" t="s">
        <v>164</v>
      </c>
      <c r="E72" t="s">
        <v>164</v>
      </c>
      <c r="F72">
        <f>_xlfn.IFNA(VLOOKUP(TablaPrecios[[#This Row],[Producto]],'[1]Costo Materia Prima'!A$3:K$424,3,FALSE),"")</f>
        <v>84</v>
      </c>
      <c r="G72" t="str">
        <f>_xlfn.IFNA(VLOOKUP(TablaPrecios[[#This Row],[Producto]],'[1]Costo Materia Prima'!A$3:K$424,4,FALSE),"")</f>
        <v>KG</v>
      </c>
      <c r="H72" s="5">
        <f>_xlfn.IFNA(VLOOKUP(TablaPrecios[[#This Row],[Producto]],'[1]Costo Materia Prima'!A$3:K$424,5,FALSE),"")</f>
        <v>24182.06</v>
      </c>
      <c r="I72" s="5">
        <f>IFERROR(TablaPrecios[[#This Row],[Precio]]/TablaPrecios[[#This Row],[Cantidad]],0)</f>
        <v>287.88166666666666</v>
      </c>
      <c r="J72" t="str">
        <f>_xlfn.IFNA(VLOOKUP(TablaPrecios[[#This Row],[Producto]],'[1]Costo Materia Prima'!A$3:K$424,8,FALSE),"")</f>
        <v>KG</v>
      </c>
      <c r="K72" t="str">
        <f>_xlfn.IFNA(VLOOKUP(TablaPrecios[[#This Row],[Producto]],'[1]Costo Materia Prima'!A$3:K$424,9,FALSE),"-")</f>
        <v>Verificado</v>
      </c>
      <c r="L72" s="96">
        <f>_xlfn.IFNA(VLOOKUP(TablaPrecios[[#This Row],[Producto]],'[1]Costo Materia Prima'!A$3:K$424,11,FALSE),"")</f>
        <v>46042</v>
      </c>
    </row>
    <row r="73" spans="1:12" x14ac:dyDescent="0.2">
      <c r="A73" t="s">
        <v>165</v>
      </c>
      <c r="B73" t="s">
        <v>166</v>
      </c>
      <c r="C73" s="81"/>
      <c r="D73" t="s">
        <v>167</v>
      </c>
      <c r="E73" t="s">
        <v>168</v>
      </c>
      <c r="F73">
        <f>_xlfn.IFNA(VLOOKUP(TablaPrecios[[#This Row],[Producto]],'[1]Costo Materia Prima'!A$3:K$424,3,FALSE),"")</f>
        <v>5500</v>
      </c>
      <c r="G73" t="str">
        <f>_xlfn.IFNA(VLOOKUP(TablaPrecios[[#This Row],[Producto]],'[1]Costo Materia Prima'!A$3:K$424,4,FALSE),"")</f>
        <v>PZ</v>
      </c>
      <c r="H73" s="5">
        <f>_xlfn.IFNA(VLOOKUP(TablaPrecios[[#This Row],[Producto]],'[1]Costo Materia Prima'!A$3:K$424,5,FALSE),"")</f>
        <v>2360.6</v>
      </c>
      <c r="I73" s="5">
        <f>IFERROR(TablaPrecios[[#This Row],[Precio]]/TablaPrecios[[#This Row],[Cantidad]],0)</f>
        <v>0.42919999999999997</v>
      </c>
      <c r="J73" t="str">
        <f>_xlfn.IFNA(VLOOKUP(TablaPrecios[[#This Row],[Producto]],'[1]Costo Materia Prima'!A$3:K$424,8,FALSE),"")</f>
        <v>PZ</v>
      </c>
      <c r="K73" t="str">
        <f>_xlfn.IFNA(VLOOKUP(TablaPrecios[[#This Row],[Producto]],'[1]Costo Materia Prima'!A$3:K$424,9,FALSE),"-")</f>
        <v>Verificado</v>
      </c>
      <c r="L73" s="96">
        <f>_xlfn.IFNA(VLOOKUP(TablaPrecios[[#This Row],[Producto]],'[1]Costo Materia Prima'!A$3:K$424,11,FALSE),"")</f>
        <v>46042</v>
      </c>
    </row>
    <row r="74" spans="1:12" x14ac:dyDescent="0.2">
      <c r="A74" t="s">
        <v>165</v>
      </c>
      <c r="C74" s="81"/>
      <c r="D74" t="s">
        <v>169</v>
      </c>
      <c r="E74" t="s">
        <v>170</v>
      </c>
      <c r="F74">
        <f>_xlfn.IFNA(VLOOKUP(TablaPrecios[[#This Row],[Producto]],'[1]Costo Materia Prima'!A$3:K$424,3,FALSE),"")</f>
        <v>10000</v>
      </c>
      <c r="G74" t="str">
        <f>_xlfn.IFNA(VLOOKUP(TablaPrecios[[#This Row],[Producto]],'[1]Costo Materia Prima'!A$3:K$424,4,FALSE),"")</f>
        <v>PZ</v>
      </c>
      <c r="H74" s="5">
        <f>_xlfn.IFNA(VLOOKUP(TablaPrecios[[#This Row],[Producto]],'[1]Costo Materia Prima'!A$3:K$424,5,FALSE),"")</f>
        <v>5568</v>
      </c>
      <c r="I74" s="5">
        <f>IFERROR(TablaPrecios[[#This Row],[Precio]]/TablaPrecios[[#This Row],[Cantidad]],0)</f>
        <v>0.55679999999999996</v>
      </c>
      <c r="J74" t="str">
        <f>_xlfn.IFNA(VLOOKUP(TablaPrecios[[#This Row],[Producto]],'[1]Costo Materia Prima'!A$3:K$424,8,FALSE),"")</f>
        <v>PZ</v>
      </c>
      <c r="K74" t="str">
        <f>_xlfn.IFNA(VLOOKUP(TablaPrecios[[#This Row],[Producto]],'[1]Costo Materia Prima'!A$3:K$424,9,FALSE),"-")</f>
        <v>Verificado</v>
      </c>
      <c r="L74" s="96">
        <f>_xlfn.IFNA(VLOOKUP(TablaPrecios[[#This Row],[Producto]],'[1]Costo Materia Prima'!A$3:K$424,11,FALSE),"")</f>
        <v>46042</v>
      </c>
    </row>
    <row r="75" spans="1:12" x14ac:dyDescent="0.2">
      <c r="A75" t="s">
        <v>165</v>
      </c>
      <c r="B75" t="s">
        <v>166</v>
      </c>
      <c r="C75" s="81"/>
      <c r="D75" t="s">
        <v>171</v>
      </c>
      <c r="E75" t="s">
        <v>172</v>
      </c>
      <c r="F75">
        <f>_xlfn.IFNA(VLOOKUP(TablaPrecios[[#This Row],[Producto]],'[1]Costo Materia Prima'!A$3:K$424,3,FALSE),"")</f>
        <v>1</v>
      </c>
      <c r="G75" t="str">
        <f>_xlfn.IFNA(VLOOKUP(TablaPrecios[[#This Row],[Producto]],'[1]Costo Materia Prima'!A$3:K$424,4,FALSE),"")</f>
        <v>PZ</v>
      </c>
      <c r="H75" s="5">
        <f>_xlfn.IFNA(VLOOKUP(TablaPrecios[[#This Row],[Producto]],'[1]Costo Materia Prima'!A$3:K$424,5,FALSE),"")</f>
        <v>0.49880000000000002</v>
      </c>
      <c r="I75" s="5">
        <f>IFERROR(TablaPrecios[[#This Row],[Precio]]/TablaPrecios[[#This Row],[Cantidad]],0)</f>
        <v>0.49880000000000002</v>
      </c>
      <c r="J75" t="str">
        <f>_xlfn.IFNA(VLOOKUP(TablaPrecios[[#This Row],[Producto]],'[1]Costo Materia Prima'!A$3:K$424,8,FALSE),"")</f>
        <v>PZ</v>
      </c>
      <c r="K75" t="str">
        <f>_xlfn.IFNA(VLOOKUP(TablaPrecios[[#This Row],[Producto]],'[1]Costo Materia Prima'!A$3:K$424,9,FALSE),"-")</f>
        <v>Verificado</v>
      </c>
      <c r="L75" s="96">
        <f>_xlfn.IFNA(VLOOKUP(TablaPrecios[[#This Row],[Producto]],'[1]Costo Materia Prima'!A$3:K$424,11,FALSE),"")</f>
        <v>46024</v>
      </c>
    </row>
    <row r="76" spans="1:12" x14ac:dyDescent="0.2">
      <c r="A76" t="s">
        <v>165</v>
      </c>
      <c r="B76" t="s">
        <v>166</v>
      </c>
      <c r="C76" s="81"/>
      <c r="D76" t="s">
        <v>173</v>
      </c>
      <c r="E76" t="s">
        <v>174</v>
      </c>
      <c r="F76">
        <f>_xlfn.IFNA(VLOOKUP(TablaPrecios[[#This Row],[Producto]],'[1]Costo Materia Prima'!A$3:K$424,3,FALSE),"")</f>
        <v>8000</v>
      </c>
      <c r="G76" t="str">
        <f>_xlfn.IFNA(VLOOKUP(TablaPrecios[[#This Row],[Producto]],'[1]Costo Materia Prima'!A$3:K$424,4,FALSE),"")</f>
        <v>PZ</v>
      </c>
      <c r="H76" s="5">
        <f>_xlfn.IFNA(VLOOKUP(TablaPrecios[[#This Row],[Producto]],'[1]Costo Materia Prima'!A$3:K$424,5,FALSE),"")</f>
        <v>2041.6</v>
      </c>
      <c r="I76" s="5">
        <f>IFERROR(TablaPrecios[[#This Row],[Precio]]/TablaPrecios[[#This Row],[Cantidad]],0)</f>
        <v>0.25519999999999998</v>
      </c>
      <c r="J76" t="str">
        <f>_xlfn.IFNA(VLOOKUP(TablaPrecios[[#This Row],[Producto]],'[1]Costo Materia Prima'!A$3:K$424,8,FALSE),"")</f>
        <v>PZ</v>
      </c>
      <c r="K76" t="str">
        <f>_xlfn.IFNA(VLOOKUP(TablaPrecios[[#This Row],[Producto]],'[1]Costo Materia Prima'!A$3:K$424,9,FALSE),"-")</f>
        <v>Verificado</v>
      </c>
      <c r="L76" s="96">
        <f>_xlfn.IFNA(VLOOKUP(TablaPrecios[[#This Row],[Producto]],'[1]Costo Materia Prima'!A$3:K$424,11,FALSE),"")</f>
        <v>46042</v>
      </c>
    </row>
    <row r="77" spans="1:12" x14ac:dyDescent="0.2">
      <c r="A77" t="s">
        <v>175</v>
      </c>
      <c r="C77" s="81"/>
      <c r="D77" t="s">
        <v>176</v>
      </c>
      <c r="E77" t="s">
        <v>177</v>
      </c>
      <c r="F77">
        <f>_xlfn.IFNA(VLOOKUP(TablaPrecios[[#This Row],[Producto]],'[1]Costo Materia Prima'!A$3:K$424,3,FALSE),"")</f>
        <v>4000</v>
      </c>
      <c r="G77" t="str">
        <f>_xlfn.IFNA(VLOOKUP(TablaPrecios[[#This Row],[Producto]],'[1]Costo Materia Prima'!A$3:K$424,4,FALSE),"")</f>
        <v>PZ</v>
      </c>
      <c r="H77" s="5">
        <f>_xlfn.IFNA(VLOOKUP(TablaPrecios[[#This Row],[Producto]],'[1]Costo Materia Prima'!A$3:K$424,5,FALSE),"")</f>
        <v>6264</v>
      </c>
      <c r="I77" s="5">
        <f>IFERROR(TablaPrecios[[#This Row],[Precio]]/TablaPrecios[[#This Row],[Cantidad]],0)</f>
        <v>1.5660000000000001</v>
      </c>
      <c r="J77" t="str">
        <f>_xlfn.IFNA(VLOOKUP(TablaPrecios[[#This Row],[Producto]],'[1]Costo Materia Prima'!A$3:K$424,8,FALSE),"")</f>
        <v>PZ</v>
      </c>
      <c r="K77" t="str">
        <f>_xlfn.IFNA(VLOOKUP(TablaPrecios[[#This Row],[Producto]],'[1]Costo Materia Prima'!A$3:K$424,9,FALSE),"-")</f>
        <v>Verificado</v>
      </c>
      <c r="L77" s="96">
        <f>_xlfn.IFNA(VLOOKUP(TablaPrecios[[#This Row],[Producto]],'[1]Costo Materia Prima'!A$3:K$424,11,FALSE),"")</f>
        <v>45862</v>
      </c>
    </row>
    <row r="78" spans="1:12" x14ac:dyDescent="0.2">
      <c r="A78" t="s">
        <v>178</v>
      </c>
      <c r="C78" s="81"/>
      <c r="D78" t="s">
        <v>179</v>
      </c>
      <c r="E78" t="s">
        <v>179</v>
      </c>
      <c r="F78">
        <f>_xlfn.IFNA(VLOOKUP(TablaPrecios[[#This Row],[Producto]],'[1]Costo Materia Prima'!A$3:K$424,3,FALSE),"")</f>
        <v>5.21</v>
      </c>
      <c r="G78" t="str">
        <f>_xlfn.IFNA(VLOOKUP(TablaPrecios[[#This Row],[Producto]],'[1]Costo Materia Prima'!A$3:K$424,4,FALSE),"")</f>
        <v>KG</v>
      </c>
      <c r="H78" s="5">
        <f>_xlfn.IFNA(VLOOKUP(TablaPrecios[[#This Row],[Producto]],'[1]Costo Materia Prima'!A$3:K$424,5,FALSE),"")</f>
        <v>77.7</v>
      </c>
      <c r="I78" s="5">
        <f>IFERROR(TablaPrecios[[#This Row],[Precio]]/TablaPrecios[[#This Row],[Cantidad]],0)</f>
        <v>14.913627639155472</v>
      </c>
      <c r="J78" t="str">
        <f>_xlfn.IFNA(VLOOKUP(TablaPrecios[[#This Row],[Producto]],'[1]Costo Materia Prima'!A$3:K$424,8,FALSE),"")</f>
        <v>KG</v>
      </c>
      <c r="K78" t="str">
        <f>_xlfn.IFNA(VLOOKUP(TablaPrecios[[#This Row],[Producto]],'[1]Costo Materia Prima'!A$3:K$424,9,FALSE),"-")</f>
        <v>Verificado</v>
      </c>
      <c r="L78" s="96">
        <f>_xlfn.IFNA(VLOOKUP(TablaPrecios[[#This Row],[Producto]],'[1]Costo Materia Prima'!A$3:K$424,11,FALSE),"")</f>
        <v>46042</v>
      </c>
    </row>
    <row r="79" spans="1:12" x14ac:dyDescent="0.2">
      <c r="A79" t="s">
        <v>178</v>
      </c>
      <c r="C79" s="81"/>
      <c r="D79" t="s">
        <v>180</v>
      </c>
      <c r="E79" t="s">
        <v>180</v>
      </c>
      <c r="F79">
        <f>_xlfn.IFNA(VLOOKUP(TablaPrecios[[#This Row],[Producto]],'[1]Costo Materia Prima'!A$3:K$424,3,FALSE),"")</f>
        <v>41.8</v>
      </c>
      <c r="G79" t="str">
        <f>_xlfn.IFNA(VLOOKUP(TablaPrecios[[#This Row],[Producto]],'[1]Costo Materia Prima'!A$3:K$424,4,FALSE),"")</f>
        <v>KG</v>
      </c>
      <c r="H79" s="5">
        <f>_xlfn.IFNA(VLOOKUP(TablaPrecios[[#This Row],[Producto]],'[1]Costo Materia Prima'!A$3:K$424,5,FALSE),"")</f>
        <v>699.6</v>
      </c>
      <c r="I79" s="5">
        <f>IFERROR(TablaPrecios[[#This Row],[Precio]]/TablaPrecios[[#This Row],[Cantidad]],0)</f>
        <v>16.736842105263161</v>
      </c>
      <c r="J79" t="str">
        <f>_xlfn.IFNA(VLOOKUP(TablaPrecios[[#This Row],[Producto]],'[1]Costo Materia Prima'!A$3:K$424,8,FALSE),"")</f>
        <v>KG</v>
      </c>
      <c r="K79" t="str">
        <f>_xlfn.IFNA(VLOOKUP(TablaPrecios[[#This Row],[Producto]],'[1]Costo Materia Prima'!A$3:K$424,9,FALSE),"-")</f>
        <v>Verificado</v>
      </c>
      <c r="L79" s="96">
        <f>_xlfn.IFNA(VLOOKUP(TablaPrecios[[#This Row],[Producto]],'[1]Costo Materia Prima'!A$3:K$424,11,FALSE),"")</f>
        <v>46042</v>
      </c>
    </row>
    <row r="80" spans="1:12" x14ac:dyDescent="0.2">
      <c r="A80" t="s">
        <v>181</v>
      </c>
      <c r="B80" t="s">
        <v>182</v>
      </c>
      <c r="C80" s="81"/>
      <c r="D80" t="s">
        <v>183</v>
      </c>
      <c r="E80" t="s">
        <v>184</v>
      </c>
      <c r="F80">
        <f>_xlfn.IFNA(VLOOKUP(TablaPrecios[[#This Row],[Producto]],'[1]Costo Materia Prima'!A$3:K$424,3,FALSE),"")</f>
        <v>64</v>
      </c>
      <c r="G80" t="str">
        <f>_xlfn.IFNA(VLOOKUP(TablaPrecios[[#This Row],[Producto]],'[1]Costo Materia Prima'!A$3:K$424,4,FALSE),"")</f>
        <v>LT</v>
      </c>
      <c r="H80" s="5">
        <f>_xlfn.IFNA(VLOOKUP(TablaPrecios[[#This Row],[Producto]],'[1]Costo Materia Prima'!A$3:K$424,5,FALSE),"")</f>
        <v>4455.79</v>
      </c>
      <c r="I80" s="5">
        <f>IFERROR(TablaPrecios[[#This Row],[Precio]]/TablaPrecios[[#This Row],[Cantidad]],0)</f>
        <v>69.621718749999999</v>
      </c>
      <c r="J80" t="str">
        <f>_xlfn.IFNA(VLOOKUP(TablaPrecios[[#This Row],[Producto]],'[1]Costo Materia Prima'!A$3:K$424,8,FALSE),"")</f>
        <v>LT</v>
      </c>
      <c r="K80" t="str">
        <f>_xlfn.IFNA(VLOOKUP(TablaPrecios[[#This Row],[Producto]],'[1]Costo Materia Prima'!A$3:K$424,9,FALSE),"-")</f>
        <v>Verificado</v>
      </c>
      <c r="L80" s="96">
        <f>_xlfn.IFNA(VLOOKUP(TablaPrecios[[#This Row],[Producto]],'[1]Costo Materia Prima'!A$3:K$424,11,FALSE),"")</f>
        <v>46042</v>
      </c>
    </row>
    <row r="81" spans="1:14" x14ac:dyDescent="0.2">
      <c r="A81" t="s">
        <v>181</v>
      </c>
      <c r="B81" t="s">
        <v>182</v>
      </c>
      <c r="C81" s="81"/>
      <c r="D81" t="s">
        <v>185</v>
      </c>
      <c r="E81" t="s">
        <v>186</v>
      </c>
      <c r="F81">
        <f>_xlfn.IFNA(VLOOKUP(TablaPrecios[[#This Row],[Producto]],'[1]Costo Materia Prima'!A$3:K$424,3,FALSE),"")</f>
        <v>1147.5</v>
      </c>
      <c r="G81" t="str">
        <f>_xlfn.IFNA(VLOOKUP(TablaPrecios[[#This Row],[Producto]],'[1]Costo Materia Prima'!A$3:K$424,4,FALSE),"")</f>
        <v>KG</v>
      </c>
      <c r="H81" s="5">
        <f>_xlfn.IFNA(VLOOKUP(TablaPrecios[[#This Row],[Producto]],'[1]Costo Materia Prima'!A$3:K$424,5,FALSE),"")</f>
        <v>71606.25</v>
      </c>
      <c r="I81" s="5">
        <f>IFERROR(TablaPrecios[[#This Row],[Precio]]/TablaPrecios[[#This Row],[Cantidad]],0)</f>
        <v>62.401960784313722</v>
      </c>
      <c r="J81" t="str">
        <f>_xlfn.IFNA(VLOOKUP(TablaPrecios[[#This Row],[Producto]],'[1]Costo Materia Prima'!A$3:K$424,8,FALSE),"")</f>
        <v>KG</v>
      </c>
      <c r="K81" t="str">
        <f>_xlfn.IFNA(VLOOKUP(TablaPrecios[[#This Row],[Producto]],'[1]Costo Materia Prima'!A$3:K$424,9,FALSE),"-")</f>
        <v>Verificado</v>
      </c>
      <c r="L81" s="96">
        <f>_xlfn.IFNA(VLOOKUP(TablaPrecios[[#This Row],[Producto]],'[1]Costo Materia Prima'!A$3:K$424,11,FALSE),"")</f>
        <v>46042</v>
      </c>
    </row>
    <row r="82" spans="1:14" x14ac:dyDescent="0.2">
      <c r="A82" t="s">
        <v>181</v>
      </c>
      <c r="B82" t="s">
        <v>182</v>
      </c>
      <c r="C82" s="81"/>
      <c r="D82" t="s">
        <v>187</v>
      </c>
      <c r="E82" t="s">
        <v>187</v>
      </c>
      <c r="F82">
        <f>_xlfn.IFNA(VLOOKUP(TablaPrecios[[#This Row],[Producto]],'[1]Costo Materia Prima'!A$3:K$424,3,FALSE),"")</f>
        <v>60</v>
      </c>
      <c r="G82" t="str">
        <f>_xlfn.IFNA(VLOOKUP(TablaPrecios[[#This Row],[Producto]],'[1]Costo Materia Prima'!A$3:K$424,4,FALSE),"")</f>
        <v>LT</v>
      </c>
      <c r="H82" s="5">
        <f>_xlfn.IFNA(VLOOKUP(TablaPrecios[[#This Row],[Producto]],'[1]Costo Materia Prima'!A$3:K$424,5,FALSE),"")</f>
        <v>3431.22</v>
      </c>
      <c r="I82" s="5">
        <f>IFERROR(TablaPrecios[[#This Row],[Precio]]/TablaPrecios[[#This Row],[Cantidad]],0)</f>
        <v>57.186999999999998</v>
      </c>
      <c r="J82" t="str">
        <f>_xlfn.IFNA(VLOOKUP(TablaPrecios[[#This Row],[Producto]],'[1]Costo Materia Prima'!A$3:K$424,8,FALSE),"")</f>
        <v>LT</v>
      </c>
      <c r="K82" t="str">
        <f>_xlfn.IFNA(VLOOKUP(TablaPrecios[[#This Row],[Producto]],'[1]Costo Materia Prima'!A$3:K$424,9,FALSE),"-")</f>
        <v>Verificado</v>
      </c>
      <c r="L82" s="96">
        <f>_xlfn.IFNA(VLOOKUP(TablaPrecios[[#This Row],[Producto]],'[1]Costo Materia Prima'!A$3:K$424,11,FALSE),"")</f>
        <v>46042</v>
      </c>
    </row>
    <row r="83" spans="1:14" x14ac:dyDescent="0.2">
      <c r="A83" t="s">
        <v>181</v>
      </c>
      <c r="B83" t="s">
        <v>182</v>
      </c>
      <c r="C83" s="81"/>
      <c r="D83" t="s">
        <v>188</v>
      </c>
      <c r="E83" t="s">
        <v>189</v>
      </c>
      <c r="F83">
        <f>_xlfn.IFNA(VLOOKUP(TablaPrecios[[#This Row],[Producto]],'[1]Costo Materia Prima'!A$3:K$424,3,FALSE),"")</f>
        <v>8</v>
      </c>
      <c r="G83" t="str">
        <f>_xlfn.IFNA(VLOOKUP(TablaPrecios[[#This Row],[Producto]],'[1]Costo Materia Prima'!A$3:K$424,4,FALSE),"")</f>
        <v>KG</v>
      </c>
      <c r="H83" s="5">
        <f>_xlfn.IFNA(VLOOKUP(TablaPrecios[[#This Row],[Producto]],'[1]Costo Materia Prima'!A$3:K$424,5,FALSE),"")</f>
        <v>912</v>
      </c>
      <c r="I83" s="5">
        <f>IFERROR(TablaPrecios[[#This Row],[Precio]]/TablaPrecios[[#This Row],[Cantidad]],0)</f>
        <v>114</v>
      </c>
      <c r="J83" t="str">
        <f>_xlfn.IFNA(VLOOKUP(TablaPrecios[[#This Row],[Producto]],'[1]Costo Materia Prima'!A$3:K$424,8,FALSE),"")</f>
        <v>KG</v>
      </c>
      <c r="K83" t="str">
        <f>_xlfn.IFNA(VLOOKUP(TablaPrecios[[#This Row],[Producto]],'[1]Costo Materia Prima'!A$3:K$424,9,FALSE),"-")</f>
        <v>Verificado</v>
      </c>
      <c r="L83" s="96">
        <f>_xlfn.IFNA(VLOOKUP(TablaPrecios[[#This Row],[Producto]],'[1]Costo Materia Prima'!A$3:K$424,11,FALSE),"")</f>
        <v>46042</v>
      </c>
    </row>
    <row r="84" spans="1:14" x14ac:dyDescent="0.2">
      <c r="A84" t="s">
        <v>181</v>
      </c>
      <c r="B84" t="s">
        <v>182</v>
      </c>
      <c r="C84" s="81"/>
      <c r="D84" t="s">
        <v>190</v>
      </c>
      <c r="E84" t="s">
        <v>191</v>
      </c>
      <c r="F84">
        <f>_xlfn.IFNA(VLOOKUP(TablaPrecios[[#This Row],[Producto]],'[1]Costo Materia Prima'!A$3:K$424,3,FALSE),"")</f>
        <v>18</v>
      </c>
      <c r="G84" t="str">
        <f>_xlfn.IFNA(VLOOKUP(TablaPrecios[[#This Row],[Producto]],'[1]Costo Materia Prima'!A$3:K$424,4,FALSE),"")</f>
        <v>KG</v>
      </c>
      <c r="H84" s="5">
        <f>_xlfn.IFNA(VLOOKUP(TablaPrecios[[#This Row],[Producto]],'[1]Costo Materia Prima'!A$3:K$424,5,FALSE),"")</f>
        <v>4752.3999999999996</v>
      </c>
      <c r="I84" s="5">
        <f>IFERROR(TablaPrecios[[#This Row],[Precio]]/TablaPrecios[[#This Row],[Cantidad]],0)</f>
        <v>264.02222222222218</v>
      </c>
      <c r="J84" t="str">
        <f>_xlfn.IFNA(VLOOKUP(TablaPrecios[[#This Row],[Producto]],'[1]Costo Materia Prima'!A$3:K$424,8,FALSE),"")</f>
        <v>KG</v>
      </c>
      <c r="K84" t="str">
        <f>_xlfn.IFNA(VLOOKUP(TablaPrecios[[#This Row],[Producto]],'[1]Costo Materia Prima'!A$3:K$424,9,FALSE),"-")</f>
        <v>Verificado</v>
      </c>
      <c r="L84" s="96">
        <f>_xlfn.IFNA(VLOOKUP(TablaPrecios[[#This Row],[Producto]],'[1]Costo Materia Prima'!A$3:K$424,11,FALSE),"")</f>
        <v>46042</v>
      </c>
    </row>
    <row r="85" spans="1:14" x14ac:dyDescent="0.2">
      <c r="A85" t="s">
        <v>181</v>
      </c>
      <c r="B85" t="s">
        <v>182</v>
      </c>
      <c r="C85" s="81"/>
      <c r="D85" t="s">
        <v>192</v>
      </c>
      <c r="E85" t="s">
        <v>193</v>
      </c>
      <c r="F85">
        <f>_xlfn.IFNA(VLOOKUP(TablaPrecios[[#This Row],[Producto]],'[1]Costo Materia Prima'!A$3:K$424,3,FALSE),"")</f>
        <v>16</v>
      </c>
      <c r="G85" t="str">
        <f>_xlfn.IFNA(VLOOKUP(TablaPrecios[[#This Row],[Producto]],'[1]Costo Materia Prima'!A$3:K$424,4,FALSE),"")</f>
        <v>KG</v>
      </c>
      <c r="H85" s="5">
        <f>_xlfn.IFNA(VLOOKUP(TablaPrecios[[#This Row],[Producto]],'[1]Costo Materia Prima'!A$3:K$424,5,FALSE),"")</f>
        <v>4510.08</v>
      </c>
      <c r="I85" s="5">
        <f>IFERROR(TablaPrecios[[#This Row],[Precio]]/TablaPrecios[[#This Row],[Cantidad]],0)</f>
        <v>281.88</v>
      </c>
      <c r="J85" t="str">
        <f>_xlfn.IFNA(VLOOKUP(TablaPrecios[[#This Row],[Producto]],'[1]Costo Materia Prima'!A$3:K$424,8,FALSE),"")</f>
        <v>KG</v>
      </c>
      <c r="K85" t="str">
        <f>_xlfn.IFNA(VLOOKUP(TablaPrecios[[#This Row],[Producto]],'[1]Costo Materia Prima'!A$3:K$424,9,FALSE),"-")</f>
        <v>Verificado</v>
      </c>
      <c r="L85" s="96">
        <f>_xlfn.IFNA(VLOOKUP(TablaPrecios[[#This Row],[Producto]],'[1]Costo Materia Prima'!A$3:K$424,11,FALSE),"")</f>
        <v>46042</v>
      </c>
    </row>
    <row r="86" spans="1:14" x14ac:dyDescent="0.2">
      <c r="A86" t="s">
        <v>181</v>
      </c>
      <c r="B86" t="s">
        <v>182</v>
      </c>
      <c r="C86" s="81"/>
      <c r="D86" t="s">
        <v>194</v>
      </c>
      <c r="E86" t="s">
        <v>195</v>
      </c>
      <c r="F86">
        <f>_xlfn.IFNA(VLOOKUP(TablaPrecios[[#This Row],[Producto]],'[1]Costo Materia Prima'!A$3:K$424,3,FALSE),"")</f>
        <v>10</v>
      </c>
      <c r="G86" t="str">
        <f>_xlfn.IFNA(VLOOKUP(TablaPrecios[[#This Row],[Producto]],'[1]Costo Materia Prima'!A$3:K$424,4,FALSE),"")</f>
        <v>KG</v>
      </c>
      <c r="H86" s="5">
        <f>_xlfn.IFNA(VLOOKUP(TablaPrecios[[#This Row],[Producto]],'[1]Costo Materia Prima'!A$3:K$424,5,FALSE),"")</f>
        <v>3198.29</v>
      </c>
      <c r="I86" s="5">
        <f>IFERROR(TablaPrecios[[#This Row],[Precio]]/TablaPrecios[[#This Row],[Cantidad]],0)</f>
        <v>319.82900000000001</v>
      </c>
      <c r="J86" t="str">
        <f>_xlfn.IFNA(VLOOKUP(TablaPrecios[[#This Row],[Producto]],'[1]Costo Materia Prima'!A$3:K$424,8,FALSE),"")</f>
        <v>KG</v>
      </c>
      <c r="K86" t="str">
        <f>_xlfn.IFNA(VLOOKUP(TablaPrecios[[#This Row],[Producto]],'[1]Costo Materia Prima'!A$3:K$424,9,FALSE),"-")</f>
        <v>Verificado</v>
      </c>
      <c r="L86" s="96">
        <f>_xlfn.IFNA(VLOOKUP(TablaPrecios[[#This Row],[Producto]],'[1]Costo Materia Prima'!A$3:K$424,11,FALSE),"")</f>
        <v>46042</v>
      </c>
      <c r="N86" s="13"/>
    </row>
    <row r="87" spans="1:14" x14ac:dyDescent="0.2">
      <c r="A87" t="s">
        <v>181</v>
      </c>
      <c r="B87" t="s">
        <v>182</v>
      </c>
      <c r="C87" s="81"/>
      <c r="D87" t="s">
        <v>196</v>
      </c>
      <c r="E87" t="s">
        <v>197</v>
      </c>
      <c r="F87">
        <f>_xlfn.IFNA(VLOOKUP(TablaPrecios[[#This Row],[Producto]],'[1]Costo Materia Prima'!A$3:K$424,3,FALSE),"")</f>
        <v>0</v>
      </c>
      <c r="G87" t="str">
        <f>_xlfn.IFNA(VLOOKUP(TablaPrecios[[#This Row],[Producto]],'[1]Costo Materia Prima'!A$3:K$424,4,FALSE),"")</f>
        <v>KG</v>
      </c>
      <c r="H87" s="5">
        <f>_xlfn.IFNA(VLOOKUP(TablaPrecios[[#This Row],[Producto]],'[1]Costo Materia Prima'!A$3:K$424,5,FALSE),"")</f>
        <v>0</v>
      </c>
      <c r="I87" s="5">
        <f>IFERROR(TablaPrecios[[#This Row],[Precio]]/TablaPrecios[[#This Row],[Cantidad]],0)</f>
        <v>0</v>
      </c>
      <c r="J87" t="str">
        <f>_xlfn.IFNA(VLOOKUP(TablaPrecios[[#This Row],[Producto]],'[1]Costo Materia Prima'!A$3:K$424,8,FALSE),"")</f>
        <v>KG</v>
      </c>
      <c r="K87" t="str">
        <f>_xlfn.IFNA(VLOOKUP(TablaPrecios[[#This Row],[Producto]],'[1]Costo Materia Prima'!A$3:K$424,9,FALSE),"-")</f>
        <v>Verificado</v>
      </c>
      <c r="L87" s="96">
        <f>_xlfn.IFNA(VLOOKUP(TablaPrecios[[#This Row],[Producto]],'[1]Costo Materia Prima'!A$3:K$424,11,FALSE),"")</f>
        <v>45940</v>
      </c>
    </row>
    <row r="88" spans="1:14" x14ac:dyDescent="0.2">
      <c r="A88" t="s">
        <v>198</v>
      </c>
      <c r="B88" t="s">
        <v>199</v>
      </c>
      <c r="C88" s="81"/>
      <c r="D88" t="s">
        <v>200</v>
      </c>
      <c r="E88" t="s">
        <v>201</v>
      </c>
      <c r="F88">
        <f>_xlfn.IFNA(VLOOKUP(TablaPrecios[[#This Row],[Producto]],'[1]Costo Materia Prima'!A$3:K$424,3,FALSE),"")</f>
        <v>171</v>
      </c>
      <c r="G88" t="str">
        <f>_xlfn.IFNA(VLOOKUP(TablaPrecios[[#This Row],[Producto]],'[1]Costo Materia Prima'!A$3:K$424,4,FALSE),"")</f>
        <v>LT</v>
      </c>
      <c r="H88" s="5">
        <f>_xlfn.IFNA(VLOOKUP(TablaPrecios[[#This Row],[Producto]],'[1]Costo Materia Prima'!A$3:K$424,5,FALSE),"")</f>
        <v>153</v>
      </c>
      <c r="I88" s="5">
        <f>IFERROR(TablaPrecios[[#This Row],[Precio]]/TablaPrecios[[#This Row],[Cantidad]],0)</f>
        <v>0.89473684210526316</v>
      </c>
      <c r="J88" t="str">
        <f>_xlfn.IFNA(VLOOKUP(TablaPrecios[[#This Row],[Producto]],'[1]Costo Materia Prima'!A$3:K$424,8,FALSE),"")</f>
        <v>LT</v>
      </c>
      <c r="K88" t="str">
        <f>_xlfn.IFNA(VLOOKUP(TablaPrecios[[#This Row],[Producto]],'[1]Costo Materia Prima'!A$3:K$424,9,FALSE),"-")</f>
        <v>Verificado</v>
      </c>
      <c r="L88" s="96">
        <f>_xlfn.IFNA(VLOOKUP(TablaPrecios[[#This Row],[Producto]],'[1]Costo Materia Prima'!A$3:K$424,11,FALSE),"")</f>
        <v>46042</v>
      </c>
    </row>
    <row r="89" spans="1:14" x14ac:dyDescent="0.2">
      <c r="A89" t="s">
        <v>202</v>
      </c>
      <c r="B89" t="s">
        <v>203</v>
      </c>
      <c r="C89" s="81"/>
      <c r="D89" t="s">
        <v>204</v>
      </c>
      <c r="E89" t="s">
        <v>205</v>
      </c>
      <c r="F89">
        <f>_xlfn.IFNA(VLOOKUP(TablaPrecios[[#This Row],[Producto]],'[1]Costo Materia Prima'!A$3:K$424,3,FALSE),"")</f>
        <v>500</v>
      </c>
      <c r="G89" t="str">
        <f>_xlfn.IFNA(VLOOKUP(TablaPrecios[[#This Row],[Producto]],'[1]Costo Materia Prima'!A$3:K$424,4,FALSE),"")</f>
        <v>PZ</v>
      </c>
      <c r="H89" s="5">
        <f>_xlfn.IFNA(VLOOKUP(TablaPrecios[[#This Row],[Producto]],'[1]Costo Materia Prima'!A$3:K$424,5,FALSE),"")</f>
        <v>10040.33</v>
      </c>
      <c r="I89" s="5">
        <f>IFERROR(TablaPrecios[[#This Row],[Precio]]/TablaPrecios[[#This Row],[Cantidad]],0)</f>
        <v>20.080659999999998</v>
      </c>
      <c r="J89" t="str">
        <f>_xlfn.IFNA(VLOOKUP(TablaPrecios[[#This Row],[Producto]],'[1]Costo Materia Prima'!A$3:K$424,8,FALSE),"")</f>
        <v>PZ</v>
      </c>
      <c r="K89" t="str">
        <f>_xlfn.IFNA(VLOOKUP(TablaPrecios[[#This Row],[Producto]],'[1]Costo Materia Prima'!A$3:K$424,9,FALSE),"-")</f>
        <v>Verificado</v>
      </c>
      <c r="L89" s="96">
        <f>_xlfn.IFNA(VLOOKUP(TablaPrecios[[#This Row],[Producto]],'[1]Costo Materia Prima'!A$3:K$424,11,FALSE),"")</f>
        <v>46042</v>
      </c>
    </row>
    <row r="90" spans="1:14" x14ac:dyDescent="0.2">
      <c r="A90" t="s">
        <v>202</v>
      </c>
      <c r="B90" t="s">
        <v>203</v>
      </c>
      <c r="C90" s="81"/>
      <c r="D90" t="s">
        <v>206</v>
      </c>
      <c r="E90" t="s">
        <v>207</v>
      </c>
      <c r="F90">
        <f>_xlfn.IFNA(VLOOKUP(TablaPrecios[[#This Row],[Producto]],'[1]Costo Materia Prima'!A$3:K$424,3,FALSE),"")</f>
        <v>1</v>
      </c>
      <c r="G90" t="str">
        <f>_xlfn.IFNA(VLOOKUP(TablaPrecios[[#This Row],[Producto]],'[1]Costo Materia Prima'!A$3:K$424,4,FALSE),"")</f>
        <v>PZ</v>
      </c>
      <c r="H90" s="5">
        <f>_xlfn.IFNA(VLOOKUP(TablaPrecios[[#This Row],[Producto]],'[1]Costo Materia Prima'!A$3:K$424,5,FALSE),"")</f>
        <v>13.640788000000001</v>
      </c>
      <c r="I90" s="5">
        <f>IFERROR(TablaPrecios[[#This Row],[Precio]]/TablaPrecios[[#This Row],[Cantidad]],0)</f>
        <v>13.640788000000001</v>
      </c>
      <c r="J90" t="str">
        <f>_xlfn.IFNA(VLOOKUP(TablaPrecios[[#This Row],[Producto]],'[1]Costo Materia Prima'!A$3:K$424,8,FALSE),"")</f>
        <v>PZ</v>
      </c>
      <c r="K90" t="str">
        <f>_xlfn.IFNA(VLOOKUP(TablaPrecios[[#This Row],[Producto]],'[1]Costo Materia Prima'!A$3:K$424,9,FALSE),"-")</f>
        <v>Verificado</v>
      </c>
      <c r="L90" s="96">
        <f>_xlfn.IFNA(VLOOKUP(TablaPrecios[[#This Row],[Producto]],'[1]Costo Materia Prima'!A$3:K$424,11,FALSE),"")</f>
        <v>46024</v>
      </c>
    </row>
    <row r="91" spans="1:14" x14ac:dyDescent="0.2">
      <c r="A91" t="s">
        <v>202</v>
      </c>
      <c r="B91" t="s">
        <v>203</v>
      </c>
      <c r="C91" s="81"/>
      <c r="D91" t="s">
        <v>637</v>
      </c>
      <c r="F91">
        <f>_xlfn.IFNA(VLOOKUP(TablaPrecios[[#This Row],[Producto]],'[1]Costo Materia Prima'!A$3:K$424,3,FALSE),"")</f>
        <v>1</v>
      </c>
      <c r="G91" t="s">
        <v>21</v>
      </c>
      <c r="H91" s="5">
        <f>_xlfn.IFNA(VLOOKUP(TablaPrecios[[#This Row],[Producto]],'[1]Costo Materia Prima'!A$3:K$424,5,FALSE),"")</f>
        <v>10.718399999999999</v>
      </c>
      <c r="I91" s="5">
        <f>IFERROR(TablaPrecios[[#This Row],[Precio]]/TablaPrecios[[#This Row],[Cantidad]],0)</f>
        <v>10.718399999999999</v>
      </c>
      <c r="J91" t="str">
        <f>_xlfn.IFNA(VLOOKUP(TablaPrecios[[#This Row],[Producto]],'[1]Costo Materia Prima'!A$3:K$424,8,FALSE),"")</f>
        <v>PZ</v>
      </c>
      <c r="K91" t="str">
        <f>_xlfn.IFNA(VLOOKUP(TablaPrecios[[#This Row],[Producto]],'[1]Costo Materia Prima'!A$3:K$424,9,FALSE),"-")</f>
        <v>Verificado</v>
      </c>
      <c r="L91" s="96">
        <f>_xlfn.IFNA(VLOOKUP(TablaPrecios[[#This Row],[Producto]],'[1]Costo Materia Prima'!A$3:K$424,11,FALSE),"")</f>
        <v>46024</v>
      </c>
    </row>
    <row r="92" spans="1:14" ht="16" customHeight="1" x14ac:dyDescent="0.2">
      <c r="A92" t="s">
        <v>202</v>
      </c>
      <c r="B92" t="s">
        <v>203</v>
      </c>
      <c r="C92" s="81"/>
      <c r="D92" t="s">
        <v>638</v>
      </c>
      <c r="F92">
        <f>_xlfn.IFNA(VLOOKUP(TablaPrecios[[#This Row],[Producto]],'[1]Costo Materia Prima'!A$3:K$424,3,FALSE),"")</f>
        <v>1</v>
      </c>
      <c r="G92" t="str">
        <f>_xlfn.IFNA(VLOOKUP(TablaPrecios[[#This Row],[Producto]],'[1]Costo Materia Prima'!A$3:K$424,4,FALSE),"")</f>
        <v>PZ</v>
      </c>
      <c r="H92" s="5">
        <f>_xlfn.IFNA(VLOOKUP(TablaPrecios[[#This Row],[Producto]],'[1]Costo Materia Prima'!A$3:K$424,5,FALSE),"")</f>
        <v>11.646399999999998</v>
      </c>
      <c r="I92" s="5">
        <f>IFERROR(TablaPrecios[[#This Row],[Precio]]/TablaPrecios[[#This Row],[Cantidad]],0)</f>
        <v>11.646399999999998</v>
      </c>
      <c r="J92" t="str">
        <f>_xlfn.IFNA(VLOOKUP(TablaPrecios[[#This Row],[Producto]],'[1]Costo Materia Prima'!A$3:K$424,8,FALSE),"")</f>
        <v>PZ</v>
      </c>
      <c r="K92" t="str">
        <f>_xlfn.IFNA(VLOOKUP(TablaPrecios[[#This Row],[Producto]],'[1]Costo Materia Prima'!A$3:K$424,9,FALSE),"-")</f>
        <v>Verificado</v>
      </c>
      <c r="L92" s="96">
        <f>_xlfn.IFNA(VLOOKUP(TablaPrecios[[#This Row],[Producto]],'[1]Costo Materia Prima'!A$3:K$424,11,FALSE),"")</f>
        <v>46024</v>
      </c>
    </row>
    <row r="93" spans="1:14" ht="16" customHeight="1" x14ac:dyDescent="0.2">
      <c r="C93" s="81"/>
      <c r="D93" s="202" t="s">
        <v>641</v>
      </c>
      <c r="F93">
        <f>_xlfn.IFNA(VLOOKUP(TablaPrecios[[#This Row],[Producto]],'[1]Costo Materia Prima'!A$3:K$424,3,FALSE),"")</f>
        <v>120</v>
      </c>
      <c r="G93" t="str">
        <f>_xlfn.IFNA(VLOOKUP(TablaPrecios[[#This Row],[Producto]],'[1]Costo Materia Prima'!A$3:K$424,4,FALSE),"")</f>
        <v>PZ</v>
      </c>
      <c r="H93" s="5">
        <f>_xlfn.IFNA(VLOOKUP(TablaPrecios[[#This Row],[Producto]],'[1]Costo Materia Prima'!A$3:K$424,5,FALSE),"")</f>
        <v>1630.8</v>
      </c>
      <c r="I93" s="5">
        <f>IFERROR(TablaPrecios[[#This Row],[Precio]]/TablaPrecios[[#This Row],[Cantidad]],0)</f>
        <v>13.59</v>
      </c>
      <c r="J93" t="str">
        <f>_xlfn.IFNA(VLOOKUP(TablaPrecios[[#This Row],[Producto]],'[1]Costo Materia Prima'!A$3:K$424,8,FALSE),"")</f>
        <v>PZ</v>
      </c>
      <c r="K93" t="str">
        <f>_xlfn.IFNA(VLOOKUP(TablaPrecios[[#This Row],[Producto]],'[1]Costo Materia Prima'!A$3:K$424,9,FALSE),"-")</f>
        <v>Verificado</v>
      </c>
      <c r="L93" s="96">
        <f>_xlfn.IFNA(VLOOKUP(TablaPrecios[[#This Row],[Producto]],'[1]Costo Materia Prima'!A$3:K$424,11,FALSE),"")</f>
        <v>46024</v>
      </c>
    </row>
    <row r="94" spans="1:14" ht="17" customHeight="1" x14ac:dyDescent="0.2">
      <c r="C94" s="81"/>
      <c r="D94" s="203" t="s">
        <v>642</v>
      </c>
      <c r="F94">
        <f>_xlfn.IFNA(VLOOKUP(TablaPrecios[[#This Row],[Producto]],'[1]Costo Materia Prima'!A$3:K$424,3,FALSE),"")</f>
        <v>120</v>
      </c>
      <c r="G94" t="str">
        <f>_xlfn.IFNA(VLOOKUP(TablaPrecios[[#This Row],[Producto]],'[1]Costo Materia Prima'!A$3:K$424,4,FALSE),"")</f>
        <v>PZ</v>
      </c>
      <c r="H94" s="5">
        <f>_xlfn.IFNA(VLOOKUP(TablaPrecios[[#This Row],[Producto]],'[1]Costo Materia Prima'!A$3:K$424,5,FALSE),"")</f>
        <v>1519.2</v>
      </c>
      <c r="I94" s="5">
        <f>IFERROR(TablaPrecios[[#This Row],[Precio]]/TablaPrecios[[#This Row],[Cantidad]],0)</f>
        <v>12.66</v>
      </c>
      <c r="J94" t="str">
        <f>_xlfn.IFNA(VLOOKUP(TablaPrecios[[#This Row],[Producto]],'[1]Costo Materia Prima'!A$3:K$424,8,FALSE),"")</f>
        <v>PZ</v>
      </c>
      <c r="K94" t="str">
        <f>_xlfn.IFNA(VLOOKUP(TablaPrecios[[#This Row],[Producto]],'[1]Costo Materia Prima'!A$3:K$424,9,FALSE),"-")</f>
        <v>Verificado</v>
      </c>
      <c r="L94" s="96">
        <f>_xlfn.IFNA(VLOOKUP(TablaPrecios[[#This Row],[Producto]],'[1]Costo Materia Prima'!A$3:K$424,11,FALSE),"")</f>
        <v>46024</v>
      </c>
    </row>
    <row r="95" spans="1:14" x14ac:dyDescent="0.2">
      <c r="A95" t="s">
        <v>208</v>
      </c>
      <c r="B95" t="s">
        <v>209</v>
      </c>
      <c r="C95" s="81"/>
      <c r="D95" t="s">
        <v>210</v>
      </c>
      <c r="E95" t="s">
        <v>211</v>
      </c>
      <c r="F95">
        <f>_xlfn.IFNA(VLOOKUP(TablaPrecios[[#This Row],[Producto]],'[1]Costo Materia Prima'!A$3:K$424,3,FALSE),"")</f>
        <v>0</v>
      </c>
      <c r="G95" t="str">
        <f>_xlfn.IFNA(VLOOKUP(TablaPrecios[[#This Row],[Producto]],'[1]Costo Materia Prima'!A$3:K$424,4,FALSE),"")</f>
        <v>PZ</v>
      </c>
      <c r="H95" s="5">
        <f>_xlfn.IFNA(VLOOKUP(TablaPrecios[[#This Row],[Producto]],'[1]Costo Materia Prima'!A$3:K$424,5,FALSE),"")</f>
        <v>0</v>
      </c>
      <c r="I95" s="5">
        <f>IFERROR(TablaPrecios[[#This Row],[Precio]]/TablaPrecios[[#This Row],[Cantidad]],0)</f>
        <v>0</v>
      </c>
      <c r="J95" t="str">
        <f>_xlfn.IFNA(VLOOKUP(TablaPrecios[[#This Row],[Producto]],'[1]Costo Materia Prima'!A$3:K$424,8,FALSE),"")</f>
        <v>PZ</v>
      </c>
      <c r="K95" t="str">
        <f>_xlfn.IFNA(VLOOKUP(TablaPrecios[[#This Row],[Producto]],'[1]Costo Materia Prima'!A$3:K$424,9,FALSE),"-")</f>
        <v>Verificado</v>
      </c>
      <c r="L95" s="96">
        <f>_xlfn.IFNA(VLOOKUP(TablaPrecios[[#This Row],[Producto]],'[1]Costo Materia Prima'!A$3:K$424,11,FALSE),"")</f>
        <v>46024</v>
      </c>
    </row>
    <row r="96" spans="1:14" x14ac:dyDescent="0.2">
      <c r="A96" t="s">
        <v>208</v>
      </c>
      <c r="B96" t="s">
        <v>209</v>
      </c>
      <c r="C96" s="81"/>
      <c r="D96" t="s">
        <v>212</v>
      </c>
      <c r="E96" t="s">
        <v>213</v>
      </c>
      <c r="F96">
        <f>_xlfn.IFNA(VLOOKUP(TablaPrecios[[#This Row],[Producto]],'[1]Costo Materia Prima'!A$3:K$424,3,FALSE),"")</f>
        <v>2</v>
      </c>
      <c r="G96" t="str">
        <f>_xlfn.IFNA(VLOOKUP(TablaPrecios[[#This Row],[Producto]],'[1]Costo Materia Prima'!A$3:K$424,4,FALSE),"")</f>
        <v>LT</v>
      </c>
      <c r="H96" s="5">
        <f>_xlfn.IFNA(VLOOKUP(TablaPrecios[[#This Row],[Producto]],'[1]Costo Materia Prima'!A$3:K$424,5,FALSE),"")</f>
        <v>60.6</v>
      </c>
      <c r="I96" s="5">
        <f>IFERROR(TablaPrecios[[#This Row],[Precio]]/TablaPrecios[[#This Row],[Cantidad]],0)</f>
        <v>30.3</v>
      </c>
      <c r="J96" t="str">
        <f>_xlfn.IFNA(VLOOKUP(TablaPrecios[[#This Row],[Producto]],'[1]Costo Materia Prima'!A$3:K$424,8,FALSE),"")</f>
        <v>LT</v>
      </c>
      <c r="K96" t="str">
        <f>_xlfn.IFNA(VLOOKUP(TablaPrecios[[#This Row],[Producto]],'[1]Costo Materia Prima'!A$3:K$424,9,FALSE),"-")</f>
        <v>Verificado</v>
      </c>
      <c r="L96" s="96">
        <f>_xlfn.IFNA(VLOOKUP(TablaPrecios[[#This Row],[Producto]],'[1]Costo Materia Prima'!A$3:K$424,11,FALSE),"")</f>
        <v>46042</v>
      </c>
    </row>
    <row r="97" spans="1:12" x14ac:dyDescent="0.2">
      <c r="A97" t="s">
        <v>208</v>
      </c>
      <c r="B97" t="s">
        <v>209</v>
      </c>
      <c r="C97" s="81"/>
      <c r="D97" t="s">
        <v>214</v>
      </c>
      <c r="E97" t="s">
        <v>215</v>
      </c>
      <c r="F97">
        <f>_xlfn.IFNA(VLOOKUP(TablaPrecios[[#This Row],[Producto]],'[1]Costo Materia Prima'!A$3:K$424,3,FALSE),"")</f>
        <v>2.5</v>
      </c>
      <c r="G97" t="str">
        <f>_xlfn.IFNA(VLOOKUP(TablaPrecios[[#This Row],[Producto]],'[1]Costo Materia Prima'!A$3:K$424,4,FALSE),"")</f>
        <v>KG</v>
      </c>
      <c r="H97" s="5">
        <f>_xlfn.IFNA(VLOOKUP(TablaPrecios[[#This Row],[Producto]],'[1]Costo Materia Prima'!A$3:K$424,5,FALSE),"")</f>
        <v>1766.91</v>
      </c>
      <c r="I97" s="5">
        <f>IFERROR(TablaPrecios[[#This Row],[Precio]]/TablaPrecios[[#This Row],[Cantidad]],0)</f>
        <v>706.76400000000001</v>
      </c>
      <c r="J97" t="str">
        <f>_xlfn.IFNA(VLOOKUP(TablaPrecios[[#This Row],[Producto]],'[1]Costo Materia Prima'!A$3:K$424,8,FALSE),"")</f>
        <v>KG</v>
      </c>
      <c r="K97" t="str">
        <f>_xlfn.IFNA(VLOOKUP(TablaPrecios[[#This Row],[Producto]],'[1]Costo Materia Prima'!A$3:K$424,9,FALSE),"-")</f>
        <v>Verificado</v>
      </c>
      <c r="L97" s="96">
        <f>_xlfn.IFNA(VLOOKUP(TablaPrecios[[#This Row],[Producto]],'[1]Costo Materia Prima'!A$3:K$424,11,FALSE),"")</f>
        <v>46042</v>
      </c>
    </row>
    <row r="98" spans="1:12" x14ac:dyDescent="0.2">
      <c r="A98" t="s">
        <v>216</v>
      </c>
      <c r="B98" t="s">
        <v>217</v>
      </c>
      <c r="C98" s="81"/>
      <c r="D98" t="s">
        <v>218</v>
      </c>
      <c r="E98" t="s">
        <v>219</v>
      </c>
      <c r="F98">
        <f>_xlfn.IFNA(VLOOKUP(TablaPrecios[[#This Row],[Producto]],'[1]Costo Materia Prima'!A$3:K$424,3,FALSE),"")</f>
        <v>5</v>
      </c>
      <c r="G98" t="str">
        <f>_xlfn.IFNA(VLOOKUP(TablaPrecios[[#This Row],[Producto]],'[1]Costo Materia Prima'!A$3:K$424,4,FALSE),"")</f>
        <v>KG</v>
      </c>
      <c r="H98" s="5">
        <f>_xlfn.IFNA(VLOOKUP(TablaPrecios[[#This Row],[Producto]],'[1]Costo Materia Prima'!A$3:K$424,5,FALSE),"")</f>
        <v>550</v>
      </c>
      <c r="I98" s="5">
        <f>IFERROR(TablaPrecios[[#This Row],[Precio]]/TablaPrecios[[#This Row],[Cantidad]],0)</f>
        <v>110</v>
      </c>
      <c r="J98" t="str">
        <f>_xlfn.IFNA(VLOOKUP(TablaPrecios[[#This Row],[Producto]],'[1]Costo Materia Prima'!A$3:K$424,8,FALSE),"")</f>
        <v>KG</v>
      </c>
      <c r="K98" t="str">
        <f>_xlfn.IFNA(VLOOKUP(TablaPrecios[[#This Row],[Producto]],'[1]Costo Materia Prima'!A$3:K$424,9,FALSE),"-")</f>
        <v>Verificado</v>
      </c>
      <c r="L98" s="96">
        <f>_xlfn.IFNA(VLOOKUP(TablaPrecios[[#This Row],[Producto]],'[1]Costo Materia Prima'!A$3:K$424,11,FALSE),"")</f>
        <v>46042</v>
      </c>
    </row>
    <row r="99" spans="1:12" x14ac:dyDescent="0.2">
      <c r="A99" t="s">
        <v>216</v>
      </c>
      <c r="B99" t="s">
        <v>217</v>
      </c>
      <c r="C99" s="81"/>
      <c r="D99" t="s">
        <v>220</v>
      </c>
      <c r="E99" t="s">
        <v>221</v>
      </c>
      <c r="F99">
        <f>_xlfn.IFNA(VLOOKUP(TablaPrecios[[#This Row],[Producto]],'[1]Costo Materia Prima'!A$3:K$424,3,FALSE),"")</f>
        <v>20</v>
      </c>
      <c r="G99" t="str">
        <f>_xlfn.IFNA(VLOOKUP(TablaPrecios[[#This Row],[Producto]],'[1]Costo Materia Prima'!A$3:K$424,4,FALSE),"")</f>
        <v>KG</v>
      </c>
      <c r="H99" s="5">
        <f>_xlfn.IFNA(VLOOKUP(TablaPrecios[[#This Row],[Producto]],'[1]Costo Materia Prima'!A$3:K$424,5,FALSE),"")</f>
        <v>565</v>
      </c>
      <c r="I99" s="5">
        <f>IFERROR(TablaPrecios[[#This Row],[Precio]]/TablaPrecios[[#This Row],[Cantidad]],0)</f>
        <v>28.25</v>
      </c>
      <c r="J99" t="str">
        <f>_xlfn.IFNA(VLOOKUP(TablaPrecios[[#This Row],[Producto]],'[1]Costo Materia Prima'!A$3:K$424,8,FALSE),"")</f>
        <v>KG</v>
      </c>
      <c r="K99" t="str">
        <f>_xlfn.IFNA(VLOOKUP(TablaPrecios[[#This Row],[Producto]],'[1]Costo Materia Prima'!A$3:K$424,9,FALSE),"-")</f>
        <v>Verificado</v>
      </c>
      <c r="L99" s="96">
        <f>_xlfn.IFNA(VLOOKUP(TablaPrecios[[#This Row],[Producto]],'[1]Costo Materia Prima'!A$3:K$424,11,FALSE),"")</f>
        <v>46042</v>
      </c>
    </row>
    <row r="100" spans="1:12" x14ac:dyDescent="0.2">
      <c r="A100" t="s">
        <v>216</v>
      </c>
      <c r="B100" t="s">
        <v>217</v>
      </c>
      <c r="C100" s="81"/>
      <c r="D100" t="s">
        <v>222</v>
      </c>
      <c r="E100" t="s">
        <v>223</v>
      </c>
      <c r="F100">
        <f>_xlfn.IFNA(VLOOKUP(TablaPrecios[[#This Row],[Producto]],'[1]Costo Materia Prima'!A$3:K$424,3,FALSE),"")</f>
        <v>50</v>
      </c>
      <c r="G100" t="str">
        <f>_xlfn.IFNA(VLOOKUP(TablaPrecios[[#This Row],[Producto]],'[1]Costo Materia Prima'!A$3:K$424,4,FALSE),"")</f>
        <v>KG</v>
      </c>
      <c r="H100" s="5">
        <f>_xlfn.IFNA(VLOOKUP(TablaPrecios[[#This Row],[Producto]],'[1]Costo Materia Prima'!A$3:K$424,5,FALSE),"")</f>
        <v>1072</v>
      </c>
      <c r="I100" s="5">
        <f>IFERROR(TablaPrecios[[#This Row],[Precio]]/TablaPrecios[[#This Row],[Cantidad]],0)</f>
        <v>21.44</v>
      </c>
      <c r="J100" t="str">
        <f>_xlfn.IFNA(VLOOKUP(TablaPrecios[[#This Row],[Producto]],'[1]Costo Materia Prima'!A$3:K$424,8,FALSE),"")</f>
        <v>KG</v>
      </c>
      <c r="K100" t="str">
        <f>_xlfn.IFNA(VLOOKUP(TablaPrecios[[#This Row],[Producto]],'[1]Costo Materia Prima'!A$3:K$424,9,FALSE),"-")</f>
        <v>Verificado</v>
      </c>
      <c r="L100" s="96">
        <f>_xlfn.IFNA(VLOOKUP(TablaPrecios[[#This Row],[Producto]],'[1]Costo Materia Prima'!A$3:K$424,11,FALSE),"")</f>
        <v>46042</v>
      </c>
    </row>
    <row r="101" spans="1:12" x14ac:dyDescent="0.2">
      <c r="A101" t="s">
        <v>216</v>
      </c>
      <c r="B101" t="s">
        <v>217</v>
      </c>
      <c r="C101" s="81"/>
      <c r="D101" t="s">
        <v>224</v>
      </c>
      <c r="E101" t="s">
        <v>225</v>
      </c>
      <c r="F101">
        <f>_xlfn.IFNA(VLOOKUP(TablaPrecios[[#This Row],[Producto]],'[1]Costo Materia Prima'!A$3:K$424,3,FALSE),"")</f>
        <v>0</v>
      </c>
      <c r="G101" t="str">
        <f>_xlfn.IFNA(VLOOKUP(TablaPrecios[[#This Row],[Producto]],'[1]Costo Materia Prima'!A$3:K$424,4,FALSE),"")</f>
        <v>LT</v>
      </c>
      <c r="H101" s="5">
        <f>_xlfn.IFNA(VLOOKUP(TablaPrecios[[#This Row],[Producto]],'[1]Costo Materia Prima'!A$3:K$424,5,FALSE),"")</f>
        <v>0</v>
      </c>
      <c r="I101" s="5">
        <f>IFERROR(TablaPrecios[[#This Row],[Precio]]/TablaPrecios[[#This Row],[Cantidad]],0)</f>
        <v>0</v>
      </c>
      <c r="J101" t="str">
        <f>_xlfn.IFNA(VLOOKUP(TablaPrecios[[#This Row],[Producto]],'[1]Costo Materia Prima'!A$3:K$424,8,FALSE),"")</f>
        <v>LT</v>
      </c>
      <c r="K101" t="str">
        <f>_xlfn.IFNA(VLOOKUP(TablaPrecios[[#This Row],[Producto]],'[1]Costo Materia Prima'!A$3:K$424,9,FALSE),"-")</f>
        <v>Verificado</v>
      </c>
      <c r="L101" s="96">
        <f>_xlfn.IFNA(VLOOKUP(TablaPrecios[[#This Row],[Producto]],'[1]Costo Materia Prima'!A$3:K$424,11,FALSE),"")</f>
        <v>46024</v>
      </c>
    </row>
    <row r="102" spans="1:12" x14ac:dyDescent="0.2">
      <c r="A102" t="s">
        <v>216</v>
      </c>
      <c r="C102" s="81"/>
      <c r="D102" t="s">
        <v>226</v>
      </c>
      <c r="E102" t="s">
        <v>227</v>
      </c>
      <c r="F102">
        <f>_xlfn.IFNA(VLOOKUP(TablaPrecios[[#This Row],[Producto]],'[1]Costo Materia Prima'!A$3:K$424,3,FALSE),"")</f>
        <v>11.35</v>
      </c>
      <c r="G102" t="str">
        <f>_xlfn.IFNA(VLOOKUP(TablaPrecios[[#This Row],[Producto]],'[1]Costo Materia Prima'!A$3:K$424,4,FALSE),"")</f>
        <v>KG</v>
      </c>
      <c r="H102" s="5">
        <f>_xlfn.IFNA(VLOOKUP(TablaPrecios[[#This Row],[Producto]],'[1]Costo Materia Prima'!A$3:K$424,5,FALSE),"")</f>
        <v>1575</v>
      </c>
      <c r="I102" s="5">
        <f>IFERROR(TablaPrecios[[#This Row],[Precio]]/TablaPrecios[[#This Row],[Cantidad]],0)</f>
        <v>138.76651982378854</v>
      </c>
      <c r="J102" t="str">
        <f>_xlfn.IFNA(VLOOKUP(TablaPrecios[[#This Row],[Producto]],'[1]Costo Materia Prima'!A$3:K$424,8,FALSE),"")</f>
        <v>KG</v>
      </c>
      <c r="K102" t="str">
        <f>_xlfn.IFNA(VLOOKUP(TablaPrecios[[#This Row],[Producto]],'[1]Costo Materia Prima'!A$3:K$424,9,FALSE),"-")</f>
        <v>Verificado</v>
      </c>
      <c r="L102" s="96">
        <f>_xlfn.IFNA(VLOOKUP(TablaPrecios[[#This Row],[Producto]],'[1]Costo Materia Prima'!A$3:K$424,11,FALSE),"")</f>
        <v>46024</v>
      </c>
    </row>
    <row r="103" spans="1:12" x14ac:dyDescent="0.2">
      <c r="A103" t="s">
        <v>228</v>
      </c>
      <c r="B103" t="s">
        <v>229</v>
      </c>
      <c r="C103" s="81"/>
      <c r="D103" t="s">
        <v>230</v>
      </c>
      <c r="E103" t="s">
        <v>231</v>
      </c>
      <c r="F103">
        <f>_xlfn.IFNA(VLOOKUP(TablaPrecios[[#This Row],[Producto]],'[1]Costo Materia Prima'!A$3:K$424,3,FALSE),"")</f>
        <v>150</v>
      </c>
      <c r="G103" t="str">
        <f>_xlfn.IFNA(VLOOKUP(TablaPrecios[[#This Row],[Producto]],'[1]Costo Materia Prima'!A$3:K$424,4,FALSE),"")</f>
        <v>KG</v>
      </c>
      <c r="H103" s="5">
        <f>_xlfn.IFNA(VLOOKUP(TablaPrecios[[#This Row],[Producto]],'[1]Costo Materia Prima'!A$3:K$424,5,FALSE),"")</f>
        <v>2775</v>
      </c>
      <c r="I103" s="5">
        <f>IFERROR(TablaPrecios[[#This Row],[Precio]]/TablaPrecios[[#This Row],[Cantidad]],0)</f>
        <v>18.5</v>
      </c>
      <c r="J103" t="str">
        <f>_xlfn.IFNA(VLOOKUP(TablaPrecios[[#This Row],[Producto]],'[1]Costo Materia Prima'!A$3:K$424,8,FALSE),"")</f>
        <v>KG</v>
      </c>
      <c r="K103" t="str">
        <f>_xlfn.IFNA(VLOOKUP(TablaPrecios[[#This Row],[Producto]],'[1]Costo Materia Prima'!A$3:K$424,9,FALSE),"-")</f>
        <v>Verificado</v>
      </c>
      <c r="L103" s="96">
        <f>_xlfn.IFNA(VLOOKUP(TablaPrecios[[#This Row],[Producto]],'[1]Costo Materia Prima'!A$3:K$424,11,FALSE),"")</f>
        <v>46042</v>
      </c>
    </row>
    <row r="104" spans="1:12" x14ac:dyDescent="0.2">
      <c r="A104" t="s">
        <v>232</v>
      </c>
      <c r="B104" t="s">
        <v>232</v>
      </c>
      <c r="C104" s="81" t="s">
        <v>233</v>
      </c>
      <c r="D104" t="s">
        <v>234</v>
      </c>
      <c r="E104" t="s">
        <v>235</v>
      </c>
      <c r="F104">
        <f>_xlfn.IFNA(VLOOKUP(TablaPrecios[[#This Row],[Producto]],'[1]Costo Materia Prima'!A$3:K$424,3,FALSE),"")</f>
        <v>100</v>
      </c>
      <c r="G104" t="str">
        <f>_xlfn.IFNA(VLOOKUP(TablaPrecios[[#This Row],[Producto]],'[1]Costo Materia Prima'!A$3:K$424,4,FALSE),"")</f>
        <v>PZ</v>
      </c>
      <c r="H104" s="5">
        <f>_xlfn.IFNA(VLOOKUP(TablaPrecios[[#This Row],[Producto]],'[1]Costo Materia Prima'!A$3:K$424,5,FALSE),"")</f>
        <v>1247.53</v>
      </c>
      <c r="I104" s="5">
        <f>IFERROR(TablaPrecios[[#This Row],[Precio]]/TablaPrecios[[#This Row],[Cantidad]],0)</f>
        <v>12.475299999999999</v>
      </c>
      <c r="J104" t="str">
        <f>_xlfn.IFNA(VLOOKUP(TablaPrecios[[#This Row],[Producto]],'[1]Costo Materia Prima'!A$3:K$424,8,FALSE),"")</f>
        <v>PZ</v>
      </c>
      <c r="K104" t="str">
        <f>_xlfn.IFNA(VLOOKUP(TablaPrecios[[#This Row],[Producto]],'[1]Costo Materia Prima'!A$3:K$424,9,FALSE),"-")</f>
        <v>Verificado</v>
      </c>
      <c r="L104" s="96">
        <f>_xlfn.IFNA(VLOOKUP(TablaPrecios[[#This Row],[Producto]],'[1]Costo Materia Prima'!A$3:K$424,11,FALSE),"")</f>
        <v>46042</v>
      </c>
    </row>
    <row r="105" spans="1:12" x14ac:dyDescent="0.2">
      <c r="A105" t="s">
        <v>232</v>
      </c>
      <c r="B105" t="s">
        <v>232</v>
      </c>
      <c r="C105" s="81" t="s">
        <v>236</v>
      </c>
      <c r="D105" t="s">
        <v>237</v>
      </c>
      <c r="E105" t="s">
        <v>238</v>
      </c>
      <c r="F105">
        <f>_xlfn.IFNA(VLOOKUP(TablaPrecios[[#This Row],[Producto]],'[1]Costo Materia Prima'!A$3:K$424,3,FALSE),"")</f>
        <v>500</v>
      </c>
      <c r="G105" t="str">
        <f>_xlfn.IFNA(VLOOKUP(TablaPrecios[[#This Row],[Producto]],'[1]Costo Materia Prima'!A$3:K$424,4,FALSE),"")</f>
        <v>PZ</v>
      </c>
      <c r="H105" s="5">
        <f>_xlfn.IFNA(VLOOKUP(TablaPrecios[[#This Row],[Producto]],'[1]Costo Materia Prima'!A$3:K$424,5,FALSE),"")</f>
        <v>3654.97</v>
      </c>
      <c r="I105" s="5">
        <f>IFERROR(TablaPrecios[[#This Row],[Precio]]/TablaPrecios[[#This Row],[Cantidad]],0)</f>
        <v>7.3099399999999992</v>
      </c>
      <c r="J105" t="str">
        <f>_xlfn.IFNA(VLOOKUP(TablaPrecios[[#This Row],[Producto]],'[1]Costo Materia Prima'!A$3:K$424,8,FALSE),"")</f>
        <v>PZ</v>
      </c>
      <c r="K105" t="str">
        <f>_xlfn.IFNA(VLOOKUP(TablaPrecios[[#This Row],[Producto]],'[1]Costo Materia Prima'!A$3:K$424,9,FALSE),"-")</f>
        <v>Verificado</v>
      </c>
      <c r="L105" s="96">
        <f>_xlfn.IFNA(VLOOKUP(TablaPrecios[[#This Row],[Producto]],'[1]Costo Materia Prima'!A$3:K$424,11,FALSE),"")</f>
        <v>46042</v>
      </c>
    </row>
    <row r="106" spans="1:12" x14ac:dyDescent="0.2">
      <c r="A106" t="s">
        <v>232</v>
      </c>
      <c r="B106" t="s">
        <v>232</v>
      </c>
      <c r="C106" s="81" t="s">
        <v>239</v>
      </c>
      <c r="D106" t="s">
        <v>240</v>
      </c>
      <c r="E106" t="s">
        <v>241</v>
      </c>
      <c r="F106">
        <f>_xlfn.IFNA(VLOOKUP(TablaPrecios[[#This Row],[Producto]],'[1]Costo Materia Prima'!A$3:K$424,3,FALSE),"")</f>
        <v>300</v>
      </c>
      <c r="G106" t="str">
        <f>_xlfn.IFNA(VLOOKUP(TablaPrecios[[#This Row],[Producto]],'[1]Costo Materia Prima'!A$3:K$424,4,FALSE),"")</f>
        <v>PZ</v>
      </c>
      <c r="H106" s="5">
        <f>_xlfn.IFNA(VLOOKUP(TablaPrecios[[#This Row],[Producto]],'[1]Costo Materia Prima'!A$3:K$424,5,FALSE),"")</f>
        <v>4084.22</v>
      </c>
      <c r="I106" s="5">
        <f>IFERROR(TablaPrecios[[#This Row],[Precio]]/TablaPrecios[[#This Row],[Cantidad]],0)</f>
        <v>13.614066666666666</v>
      </c>
      <c r="J106" t="str">
        <f>_xlfn.IFNA(VLOOKUP(TablaPrecios[[#This Row],[Producto]],'[1]Costo Materia Prima'!A$3:K$424,8,FALSE),"")</f>
        <v>PZ</v>
      </c>
      <c r="K106" t="str">
        <f>_xlfn.IFNA(VLOOKUP(TablaPrecios[[#This Row],[Producto]],'[1]Costo Materia Prima'!A$3:K$424,9,FALSE),"-")</f>
        <v>Verificado</v>
      </c>
      <c r="L106" s="96">
        <f>_xlfn.IFNA(VLOOKUP(TablaPrecios[[#This Row],[Producto]],'[1]Costo Materia Prima'!A$3:K$424,11,FALSE),"")</f>
        <v>46042</v>
      </c>
    </row>
    <row r="107" spans="1:12" x14ac:dyDescent="0.2">
      <c r="A107" t="s">
        <v>232</v>
      </c>
      <c r="B107" t="s">
        <v>232</v>
      </c>
      <c r="C107" s="81" t="s">
        <v>242</v>
      </c>
      <c r="D107" t="s">
        <v>243</v>
      </c>
      <c r="E107" t="s">
        <v>244</v>
      </c>
      <c r="F107">
        <f>_xlfn.IFNA(VLOOKUP(TablaPrecios[[#This Row],[Producto]],'[1]Costo Materia Prima'!A$3:K$424,3,FALSE),"")</f>
        <v>1000</v>
      </c>
      <c r="G107" t="str">
        <f>_xlfn.IFNA(VLOOKUP(TablaPrecios[[#This Row],[Producto]],'[1]Costo Materia Prima'!A$3:K$424,4,FALSE),"")</f>
        <v>PZ</v>
      </c>
      <c r="H107" s="5">
        <f>_xlfn.IFNA(VLOOKUP(TablaPrecios[[#This Row],[Producto]],'[1]Costo Materia Prima'!A$3:K$424,5,FALSE),"")</f>
        <v>6037.31</v>
      </c>
      <c r="I107" s="5">
        <f>IFERROR(TablaPrecios[[#This Row],[Precio]]/TablaPrecios[[#This Row],[Cantidad]],0)</f>
        <v>6.0373100000000006</v>
      </c>
      <c r="J107" t="str">
        <f>_xlfn.IFNA(VLOOKUP(TablaPrecios[[#This Row],[Producto]],'[1]Costo Materia Prima'!A$3:K$424,8,FALSE),"")</f>
        <v>PZ</v>
      </c>
      <c r="K107" t="str">
        <f>_xlfn.IFNA(VLOOKUP(TablaPrecios[[#This Row],[Producto]],'[1]Costo Materia Prima'!A$3:K$424,9,FALSE),"-")</f>
        <v>Verificado</v>
      </c>
      <c r="L107" s="96">
        <f>_xlfn.IFNA(VLOOKUP(TablaPrecios[[#This Row],[Producto]],'[1]Costo Materia Prima'!A$3:K$424,11,FALSE),"")</f>
        <v>46042</v>
      </c>
    </row>
    <row r="108" spans="1:12" x14ac:dyDescent="0.2">
      <c r="A108" t="s">
        <v>232</v>
      </c>
      <c r="B108" t="s">
        <v>232</v>
      </c>
      <c r="C108" s="81" t="s">
        <v>245</v>
      </c>
      <c r="D108" t="s">
        <v>246</v>
      </c>
      <c r="E108" t="s">
        <v>247</v>
      </c>
      <c r="F108">
        <f>_xlfn.IFNA(VLOOKUP(TablaPrecios[[#This Row],[Producto]],'[1]Costo Materia Prima'!A$3:K$424,3,FALSE),"")</f>
        <v>250</v>
      </c>
      <c r="G108" t="str">
        <f>_xlfn.IFNA(VLOOKUP(TablaPrecios[[#This Row],[Producto]],'[1]Costo Materia Prima'!A$3:K$424,4,FALSE),"")</f>
        <v>PZ</v>
      </c>
      <c r="H108" s="5">
        <f>_xlfn.IFNA(VLOOKUP(TablaPrecios[[#This Row],[Producto]],'[1]Costo Materia Prima'!A$3:K$424,5,FALSE),"")</f>
        <v>566.36</v>
      </c>
      <c r="I108" s="5">
        <f>IFERROR(TablaPrecios[[#This Row],[Precio]]/TablaPrecios[[#This Row],[Cantidad]],0)</f>
        <v>2.2654399999999999</v>
      </c>
      <c r="J108" t="str">
        <f>_xlfn.IFNA(VLOOKUP(TablaPrecios[[#This Row],[Producto]],'[1]Costo Materia Prima'!A$3:K$424,8,FALSE),"")</f>
        <v>PZ</v>
      </c>
      <c r="K108" t="str">
        <f>_xlfn.IFNA(VLOOKUP(TablaPrecios[[#This Row],[Producto]],'[1]Costo Materia Prima'!A$3:K$424,9,FALSE),"-")</f>
        <v>Verificado</v>
      </c>
      <c r="L108" s="96">
        <f>_xlfn.IFNA(VLOOKUP(TablaPrecios[[#This Row],[Producto]],'[1]Costo Materia Prima'!A$3:K$424,11,FALSE),"")</f>
        <v>46042</v>
      </c>
    </row>
    <row r="109" spans="1:12" x14ac:dyDescent="0.2">
      <c r="A109" t="s">
        <v>232</v>
      </c>
      <c r="B109" t="s">
        <v>232</v>
      </c>
      <c r="C109" s="81">
        <v>1414</v>
      </c>
      <c r="D109" t="s">
        <v>248</v>
      </c>
      <c r="E109" t="s">
        <v>249</v>
      </c>
      <c r="F109">
        <f>_xlfn.IFNA(VLOOKUP(TablaPrecios[[#This Row],[Producto]],'[1]Costo Materia Prima'!A$3:K$424,3,FALSE),"")</f>
        <v>500</v>
      </c>
      <c r="G109" t="str">
        <f>_xlfn.IFNA(VLOOKUP(TablaPrecios[[#This Row],[Producto]],'[1]Costo Materia Prima'!A$3:K$424,4,FALSE),"")</f>
        <v>PZ</v>
      </c>
      <c r="H109" s="5">
        <f>_xlfn.IFNA(VLOOKUP(TablaPrecios[[#This Row],[Producto]],'[1]Costo Materia Prima'!A$3:K$424,5,FALSE),"")</f>
        <v>1160.97</v>
      </c>
      <c r="I109" s="5">
        <f>IFERROR(TablaPrecios[[#This Row],[Precio]]/TablaPrecios[[#This Row],[Cantidad]],0)</f>
        <v>2.3219400000000001</v>
      </c>
      <c r="J109" t="str">
        <f>_xlfn.IFNA(VLOOKUP(TablaPrecios[[#This Row],[Producto]],'[1]Costo Materia Prima'!A$3:K$424,8,FALSE),"")</f>
        <v>PZ</v>
      </c>
      <c r="K109" t="str">
        <f>_xlfn.IFNA(VLOOKUP(TablaPrecios[[#This Row],[Producto]],'[1]Costo Materia Prima'!A$3:K$424,9,FALSE),"-")</f>
        <v>Verificado</v>
      </c>
      <c r="L109" s="96">
        <f>_xlfn.IFNA(VLOOKUP(TablaPrecios[[#This Row],[Producto]],'[1]Costo Materia Prima'!A$3:K$424,11,FALSE),"")</f>
        <v>46042</v>
      </c>
    </row>
    <row r="110" spans="1:12" x14ac:dyDescent="0.2">
      <c r="A110" t="s">
        <v>232</v>
      </c>
      <c r="B110" t="s">
        <v>232</v>
      </c>
      <c r="C110" s="81" t="s">
        <v>250</v>
      </c>
      <c r="D110" t="s">
        <v>251</v>
      </c>
      <c r="E110" t="s">
        <v>252</v>
      </c>
      <c r="F110">
        <f>_xlfn.IFNA(VLOOKUP(TablaPrecios[[#This Row],[Producto]],'[1]Costo Materia Prima'!A$3:K$424,3,FALSE),"")</f>
        <v>500</v>
      </c>
      <c r="G110" t="str">
        <f>_xlfn.IFNA(VLOOKUP(TablaPrecios[[#This Row],[Producto]],'[1]Costo Materia Prima'!A$3:K$424,4,FALSE),"")</f>
        <v>PZ</v>
      </c>
      <c r="H110" s="5">
        <f>_xlfn.IFNA(VLOOKUP(TablaPrecios[[#This Row],[Producto]],'[1]Costo Materia Prima'!A$3:K$424,5,FALSE),"")</f>
        <v>1160.97</v>
      </c>
      <c r="I110" s="5">
        <f>IFERROR(TablaPrecios[[#This Row],[Precio]]/TablaPrecios[[#This Row],[Cantidad]],0)</f>
        <v>2.3219400000000001</v>
      </c>
      <c r="J110" t="str">
        <f>_xlfn.IFNA(VLOOKUP(TablaPrecios[[#This Row],[Producto]],'[1]Costo Materia Prima'!A$3:K$424,8,FALSE),"")</f>
        <v>PZ</v>
      </c>
      <c r="K110" t="str">
        <f>_xlfn.IFNA(VLOOKUP(TablaPrecios[[#This Row],[Producto]],'[1]Costo Materia Prima'!A$3:K$424,9,FALSE),"-")</f>
        <v>Verificado</v>
      </c>
      <c r="L110" s="96">
        <f>_xlfn.IFNA(VLOOKUP(TablaPrecios[[#This Row],[Producto]],'[1]Costo Materia Prima'!A$3:K$424,11,FALSE),"")</f>
        <v>46024</v>
      </c>
    </row>
    <row r="111" spans="1:12" x14ac:dyDescent="0.2">
      <c r="A111" t="s">
        <v>232</v>
      </c>
      <c r="B111" t="s">
        <v>232</v>
      </c>
      <c r="C111" s="81" t="s">
        <v>253</v>
      </c>
      <c r="D111" t="s">
        <v>254</v>
      </c>
      <c r="E111" t="s">
        <v>255</v>
      </c>
      <c r="F111">
        <f>_xlfn.IFNA(VLOOKUP(TablaPrecios[[#This Row],[Producto]],'[1]Costo Materia Prima'!A$3:K$424,3,FALSE),"")</f>
        <v>0</v>
      </c>
      <c r="G111" t="str">
        <f>_xlfn.IFNA(VLOOKUP(TablaPrecios[[#This Row],[Producto]],'[1]Costo Materia Prima'!A$3:K$424,4,FALSE),"")</f>
        <v>PZ</v>
      </c>
      <c r="H111" s="5">
        <f>_xlfn.IFNA(VLOOKUP(TablaPrecios[[#This Row],[Producto]],'[1]Costo Materia Prima'!A$3:K$424,5,FALSE),"")</f>
        <v>0</v>
      </c>
      <c r="I111" s="5">
        <f>IFERROR(TablaPrecios[[#This Row],[Precio]]/TablaPrecios[[#This Row],[Cantidad]],0)</f>
        <v>0</v>
      </c>
      <c r="J111" t="str">
        <f>_xlfn.IFNA(VLOOKUP(TablaPrecios[[#This Row],[Producto]],'[1]Costo Materia Prima'!A$3:K$424,8,FALSE),"")</f>
        <v>PZ</v>
      </c>
      <c r="K111" t="str">
        <f>_xlfn.IFNA(VLOOKUP(TablaPrecios[[#This Row],[Producto]],'[1]Costo Materia Prima'!A$3:K$424,9,FALSE),"-")</f>
        <v>Verificado</v>
      </c>
      <c r="L111" s="96">
        <f>_xlfn.IFNA(VLOOKUP(TablaPrecios[[#This Row],[Producto]],'[1]Costo Materia Prima'!A$3:K$424,11,FALSE),"")</f>
        <v>46024</v>
      </c>
    </row>
    <row r="112" spans="1:12" x14ac:dyDescent="0.2">
      <c r="A112" t="s">
        <v>232</v>
      </c>
      <c r="B112" t="s">
        <v>232</v>
      </c>
      <c r="C112" s="81"/>
      <c r="D112" t="s">
        <v>615</v>
      </c>
      <c r="E112" t="s">
        <v>616</v>
      </c>
      <c r="F112">
        <f>_xlfn.IFNA(VLOOKUP(TablaPrecios[[#This Row],[Producto]],'[1]Costo Materia Prima'!A$3:K$424,3,FALSE),"")</f>
        <v>0</v>
      </c>
      <c r="G112" t="str">
        <f>_xlfn.IFNA(VLOOKUP(TablaPrecios[[#This Row],[Producto]],'[1]Costo Materia Prima'!A$3:K$424,4,FALSE),"")</f>
        <v>PZ</v>
      </c>
      <c r="H112" s="5">
        <f>_xlfn.IFNA(VLOOKUP(TablaPrecios[[#This Row],[Producto]],'[1]Costo Materia Prima'!A$3:K$424,5,FALSE),"")</f>
        <v>0</v>
      </c>
      <c r="I112" s="5">
        <f>IFERROR(TablaPrecios[[#This Row],[Precio]]/TablaPrecios[[#This Row],[Cantidad]],0)</f>
        <v>0</v>
      </c>
      <c r="J112" t="str">
        <f>_xlfn.IFNA(VLOOKUP(TablaPrecios[[#This Row],[Producto]],'[1]Costo Materia Prima'!A$3:K$424,8,FALSE),"")</f>
        <v>PZ</v>
      </c>
      <c r="K112" t="str">
        <f>_xlfn.IFNA(VLOOKUP(TablaPrecios[[#This Row],[Producto]],'[1]Costo Materia Prima'!A$3:K$424,9,FALSE),"-")</f>
        <v>Verificado</v>
      </c>
      <c r="L112" s="96">
        <f>_xlfn.IFNA(VLOOKUP(TablaPrecios[[#This Row],[Producto]],'[1]Costo Materia Prima'!A$3:K$424,11,FALSE),"")</f>
        <v>46024</v>
      </c>
    </row>
    <row r="113" spans="1:12" x14ac:dyDescent="0.2">
      <c r="A113" t="s">
        <v>232</v>
      </c>
      <c r="B113" t="s">
        <v>232</v>
      </c>
      <c r="C113" s="81" t="s">
        <v>256</v>
      </c>
      <c r="D113" t="s">
        <v>257</v>
      </c>
      <c r="E113" t="s">
        <v>258</v>
      </c>
      <c r="F113">
        <f>_xlfn.IFNA(VLOOKUP(TablaPrecios[[#This Row],[Producto]],'[1]Costo Materia Prima'!A$3:K$424,3,FALSE),"")</f>
        <v>1000</v>
      </c>
      <c r="G113" t="str">
        <f>_xlfn.IFNA(VLOOKUP(TablaPrecios[[#This Row],[Producto]],'[1]Costo Materia Prima'!A$3:K$424,4,FALSE),"")</f>
        <v>PZ</v>
      </c>
      <c r="H113" s="5">
        <f>_xlfn.IFNA(VLOOKUP(TablaPrecios[[#This Row],[Producto]],'[1]Costo Materia Prima'!A$3:K$424,5,FALSE),"")</f>
        <v>14612.4</v>
      </c>
      <c r="I113" s="5">
        <f>IFERROR(TablaPrecios[[#This Row],[Precio]]/TablaPrecios[[#This Row],[Cantidad]],0)</f>
        <v>14.612399999999999</v>
      </c>
      <c r="J113" t="str">
        <f>_xlfn.IFNA(VLOOKUP(TablaPrecios[[#This Row],[Producto]],'[1]Costo Materia Prima'!A$3:K$424,8,FALSE),"")</f>
        <v>PZ</v>
      </c>
      <c r="K113" t="str">
        <f>_xlfn.IFNA(VLOOKUP(TablaPrecios[[#This Row],[Producto]],'[1]Costo Materia Prima'!A$3:K$424,9,FALSE),"-")</f>
        <v>Verificado</v>
      </c>
      <c r="L113" s="96">
        <f>_xlfn.IFNA(VLOOKUP(TablaPrecios[[#This Row],[Producto]],'[1]Costo Materia Prima'!A$3:K$424,11,FALSE),"")</f>
        <v>46042</v>
      </c>
    </row>
    <row r="114" spans="1:12" x14ac:dyDescent="0.2">
      <c r="A114" t="s">
        <v>232</v>
      </c>
      <c r="B114" t="s">
        <v>232</v>
      </c>
      <c r="C114" s="81">
        <v>241654</v>
      </c>
      <c r="D114" t="s">
        <v>259</v>
      </c>
      <c r="E114" t="s">
        <v>260</v>
      </c>
      <c r="F114">
        <f>_xlfn.IFNA(VLOOKUP(TablaPrecios[[#This Row],[Producto]],'[1]Costo Materia Prima'!A$3:K$424,3,FALSE),"")</f>
        <v>250</v>
      </c>
      <c r="G114" t="str">
        <f>_xlfn.IFNA(VLOOKUP(TablaPrecios[[#This Row],[Producto]],'[1]Costo Materia Prima'!A$3:K$424,4,FALSE),"")</f>
        <v>PZ</v>
      </c>
      <c r="H114" s="5">
        <f>_xlfn.IFNA(VLOOKUP(TablaPrecios[[#This Row],[Producto]],'[1]Costo Materia Prima'!A$3:K$424,5,FALSE),"")</f>
        <v>1383.87</v>
      </c>
      <c r="I114" s="5">
        <f>IFERROR(TablaPrecios[[#This Row],[Precio]]/TablaPrecios[[#This Row],[Cantidad]],0)</f>
        <v>5.5354799999999997</v>
      </c>
      <c r="J114" t="str">
        <f>_xlfn.IFNA(VLOOKUP(TablaPrecios[[#This Row],[Producto]],'[1]Costo Materia Prima'!A$3:K$424,8,FALSE),"")</f>
        <v>PZ</v>
      </c>
      <c r="K114" t="str">
        <f>_xlfn.IFNA(VLOOKUP(TablaPrecios[[#This Row],[Producto]],'[1]Costo Materia Prima'!A$3:K$424,9,FALSE),"-")</f>
        <v>Verificado</v>
      </c>
      <c r="L114" s="96">
        <f>_xlfn.IFNA(VLOOKUP(TablaPrecios[[#This Row],[Producto]],'[1]Costo Materia Prima'!A$3:K$424,11,FALSE),"")</f>
        <v>45995</v>
      </c>
    </row>
    <row r="115" spans="1:12" x14ac:dyDescent="0.2">
      <c r="A115" t="s">
        <v>232</v>
      </c>
      <c r="B115" t="s">
        <v>232</v>
      </c>
      <c r="C115" s="81" t="s">
        <v>261</v>
      </c>
      <c r="D115" t="s">
        <v>262</v>
      </c>
      <c r="E115" t="s">
        <v>263</v>
      </c>
      <c r="F115">
        <f>_xlfn.IFNA(VLOOKUP(TablaPrecios[[#This Row],[Producto]],'[1]Costo Materia Prima'!A$3:K$424,3,FALSE),"")</f>
        <v>500</v>
      </c>
      <c r="G115" t="str">
        <f>_xlfn.IFNA(VLOOKUP(TablaPrecios[[#This Row],[Producto]],'[1]Costo Materia Prima'!A$3:K$424,4,FALSE),"")</f>
        <v>PZ</v>
      </c>
      <c r="H115" s="5">
        <f>_xlfn.IFNA(VLOOKUP(TablaPrecios[[#This Row],[Producto]],'[1]Costo Materia Prima'!A$3:K$424,5,FALSE),"")</f>
        <v>1090.78</v>
      </c>
      <c r="I115" s="5">
        <f>IFERROR(TablaPrecios[[#This Row],[Precio]]/TablaPrecios[[#This Row],[Cantidad]],0)</f>
        <v>2.1815600000000002</v>
      </c>
      <c r="J115" t="str">
        <f>_xlfn.IFNA(VLOOKUP(TablaPrecios[[#This Row],[Producto]],'[1]Costo Materia Prima'!A$3:K$424,8,FALSE),"")</f>
        <v>PZ</v>
      </c>
      <c r="K115" t="str">
        <f>_xlfn.IFNA(VLOOKUP(TablaPrecios[[#This Row],[Producto]],'[1]Costo Materia Prima'!A$3:K$424,9,FALSE),"-")</f>
        <v>Verificado</v>
      </c>
      <c r="L115" s="96">
        <f>_xlfn.IFNA(VLOOKUP(TablaPrecios[[#This Row],[Producto]],'[1]Costo Materia Prima'!A$3:K$424,11,FALSE),"")</f>
        <v>45961</v>
      </c>
    </row>
    <row r="116" spans="1:12" x14ac:dyDescent="0.2">
      <c r="A116" t="s">
        <v>232</v>
      </c>
      <c r="B116" t="s">
        <v>232</v>
      </c>
      <c r="C116" s="81" t="s">
        <v>264</v>
      </c>
      <c r="D116" t="s">
        <v>265</v>
      </c>
      <c r="E116" t="s">
        <v>266</v>
      </c>
      <c r="F116">
        <f>_xlfn.IFNA(VLOOKUP(TablaPrecios[[#This Row],[Producto]],'[1]Costo Materia Prima'!A$3:K$424,3,FALSE),"")</f>
        <v>1000</v>
      </c>
      <c r="G116" t="str">
        <f>_xlfn.IFNA(VLOOKUP(TablaPrecios[[#This Row],[Producto]],'[1]Costo Materia Prima'!A$3:K$424,4,FALSE),"")</f>
        <v>PZ</v>
      </c>
      <c r="H116" s="5">
        <f>_xlfn.IFNA(VLOOKUP(TablaPrecios[[#This Row],[Producto]],'[1]Costo Materia Prima'!A$3:K$424,5,FALSE),"")</f>
        <v>12642.49</v>
      </c>
      <c r="I116" s="5">
        <f>IFERROR(TablaPrecios[[#This Row],[Precio]]/TablaPrecios[[#This Row],[Cantidad]],0)</f>
        <v>12.64249</v>
      </c>
      <c r="J116" t="str">
        <f>_xlfn.IFNA(VLOOKUP(TablaPrecios[[#This Row],[Producto]],'[1]Costo Materia Prima'!A$3:K$424,8,FALSE),"")</f>
        <v>PZ</v>
      </c>
      <c r="K116" t="str">
        <f>_xlfn.IFNA(VLOOKUP(TablaPrecios[[#This Row],[Producto]],'[1]Costo Materia Prima'!A$3:K$424,9,FALSE),"-")</f>
        <v>Verificado</v>
      </c>
      <c r="L116" s="96">
        <f>_xlfn.IFNA(VLOOKUP(TablaPrecios[[#This Row],[Producto]],'[1]Costo Materia Prima'!A$3:K$424,11,FALSE),"")</f>
        <v>46042</v>
      </c>
    </row>
    <row r="117" spans="1:12" x14ac:dyDescent="0.2">
      <c r="A117" t="s">
        <v>232</v>
      </c>
      <c r="B117" t="s">
        <v>232</v>
      </c>
      <c r="C117" s="81" t="s">
        <v>267</v>
      </c>
      <c r="D117" t="s">
        <v>268</v>
      </c>
      <c r="E117" t="s">
        <v>268</v>
      </c>
      <c r="F117">
        <f>_xlfn.IFNA(VLOOKUP(TablaPrecios[[#This Row],[Producto]],'[1]Costo Materia Prima'!A$3:K$424,3,FALSE),"")</f>
        <v>200</v>
      </c>
      <c r="G117" t="str">
        <f>_xlfn.IFNA(VLOOKUP(TablaPrecios[[#This Row],[Producto]],'[1]Costo Materia Prima'!A$3:K$424,4,FALSE),"")</f>
        <v>PZ</v>
      </c>
      <c r="H117" s="5">
        <f>_xlfn.IFNA(VLOOKUP(TablaPrecios[[#This Row],[Producto]],'[1]Costo Materia Prima'!A$3:K$424,5,FALSE),"")</f>
        <v>1698.77</v>
      </c>
      <c r="I117" s="5">
        <f>IFERROR(TablaPrecios[[#This Row],[Precio]]/TablaPrecios[[#This Row],[Cantidad]],0)</f>
        <v>8.4938500000000001</v>
      </c>
      <c r="J117" t="str">
        <f>_xlfn.IFNA(VLOOKUP(TablaPrecios[[#This Row],[Producto]],'[1]Costo Materia Prima'!A$3:K$424,8,FALSE),"")</f>
        <v>PZ</v>
      </c>
      <c r="K117" t="str">
        <f>_xlfn.IFNA(VLOOKUP(TablaPrecios[[#This Row],[Producto]],'[1]Costo Materia Prima'!A$3:K$424,9,FALSE),"-")</f>
        <v>Verificado</v>
      </c>
      <c r="L117" s="96">
        <f>_xlfn.IFNA(VLOOKUP(TablaPrecios[[#This Row],[Producto]],'[1]Costo Materia Prima'!A$3:K$424,11,FALSE),"")</f>
        <v>46042</v>
      </c>
    </row>
    <row r="118" spans="1:12" x14ac:dyDescent="0.2">
      <c r="A118" t="s">
        <v>232</v>
      </c>
      <c r="B118" t="s">
        <v>232</v>
      </c>
      <c r="C118" s="81" t="s">
        <v>269</v>
      </c>
      <c r="D118" t="s">
        <v>270</v>
      </c>
      <c r="E118" t="s">
        <v>270</v>
      </c>
      <c r="F118">
        <f>_xlfn.IFNA(VLOOKUP(TablaPrecios[[#This Row],[Producto]],'[1]Costo Materia Prima'!A$3:K$424,3,FALSE),"")</f>
        <v>300</v>
      </c>
      <c r="G118" t="str">
        <f>_xlfn.IFNA(VLOOKUP(TablaPrecios[[#This Row],[Producto]],'[1]Costo Materia Prima'!A$3:K$424,4,FALSE),"")</f>
        <v>PZ</v>
      </c>
      <c r="H118" s="5">
        <f>_xlfn.IFNA(VLOOKUP(TablaPrecios[[#This Row],[Producto]],'[1]Costo Materia Prima'!A$3:K$424,5,FALSE),"")</f>
        <v>1375.1</v>
      </c>
      <c r="I118" s="5">
        <f>IFERROR(TablaPrecios[[#This Row],[Precio]]/TablaPrecios[[#This Row],[Cantidad]],0)</f>
        <v>4.5836666666666668</v>
      </c>
      <c r="J118" t="str">
        <f>_xlfn.IFNA(VLOOKUP(TablaPrecios[[#This Row],[Producto]],'[1]Costo Materia Prima'!A$3:K$424,8,FALSE),"")</f>
        <v>PZ</v>
      </c>
      <c r="K118" t="str">
        <f>_xlfn.IFNA(VLOOKUP(TablaPrecios[[#This Row],[Producto]],'[1]Costo Materia Prima'!A$3:K$424,9,FALSE),"-")</f>
        <v>Verificado</v>
      </c>
      <c r="L118" s="96">
        <f>_xlfn.IFNA(VLOOKUP(TablaPrecios[[#This Row],[Producto]],'[1]Costo Materia Prima'!A$3:K$424,11,FALSE),"")</f>
        <v>45862</v>
      </c>
    </row>
    <row r="119" spans="1:12" x14ac:dyDescent="0.2">
      <c r="A119" t="s">
        <v>232</v>
      </c>
      <c r="B119" t="s">
        <v>232</v>
      </c>
      <c r="C119" s="81" t="s">
        <v>271</v>
      </c>
      <c r="D119" t="s">
        <v>272</v>
      </c>
      <c r="E119" t="s">
        <v>272</v>
      </c>
      <c r="F119">
        <f>_xlfn.IFNA(VLOOKUP(TablaPrecios[[#This Row],[Producto]],'[1]Costo Materia Prima'!A$3:K$424,3,FALSE),"")</f>
        <v>500</v>
      </c>
      <c r="G119" t="str">
        <f>_xlfn.IFNA(VLOOKUP(TablaPrecios[[#This Row],[Producto]],'[1]Costo Materia Prima'!A$3:K$424,4,FALSE),"")</f>
        <v>PZ</v>
      </c>
      <c r="H119" s="5">
        <f>_xlfn.IFNA(VLOOKUP(TablaPrecios[[#This Row],[Producto]],'[1]Costo Materia Prima'!A$3:K$424,5,FALSE),"")</f>
        <v>1862.73</v>
      </c>
      <c r="I119" s="5">
        <f>IFERROR(TablaPrecios[[#This Row],[Precio]]/TablaPrecios[[#This Row],[Cantidad]],0)</f>
        <v>3.72546</v>
      </c>
      <c r="J119" t="str">
        <f>_xlfn.IFNA(VLOOKUP(TablaPrecios[[#This Row],[Producto]],'[1]Costo Materia Prima'!A$3:K$424,8,FALSE),"")</f>
        <v>PZ</v>
      </c>
      <c r="K119" t="str">
        <f>_xlfn.IFNA(VLOOKUP(TablaPrecios[[#This Row],[Producto]],'[1]Costo Materia Prima'!A$3:K$424,9,FALSE),"-")</f>
        <v>Verificado</v>
      </c>
      <c r="L119" s="96">
        <f>_xlfn.IFNA(VLOOKUP(TablaPrecios[[#This Row],[Producto]],'[1]Costo Materia Prima'!A$3:K$424,11,FALSE),"")</f>
        <v>46042</v>
      </c>
    </row>
    <row r="120" spans="1:12" x14ac:dyDescent="0.2">
      <c r="A120" t="s">
        <v>232</v>
      </c>
      <c r="B120" t="s">
        <v>232</v>
      </c>
      <c r="C120" s="81" t="s">
        <v>273</v>
      </c>
      <c r="D120" t="s">
        <v>274</v>
      </c>
      <c r="E120" t="s">
        <v>274</v>
      </c>
      <c r="F120">
        <f>_xlfn.IFNA(VLOOKUP(TablaPrecios[[#This Row],[Producto]],'[1]Costo Materia Prima'!A$3:K$424,3,FALSE),"")</f>
        <v>300</v>
      </c>
      <c r="G120" t="str">
        <f>_xlfn.IFNA(VLOOKUP(TablaPrecios[[#This Row],[Producto]],'[1]Costo Materia Prima'!A$3:K$424,4,FALSE),"")</f>
        <v>PZ</v>
      </c>
      <c r="H120" s="5">
        <f>_xlfn.IFNA(VLOOKUP(TablaPrecios[[#This Row],[Producto]],'[1]Costo Materia Prima'!A$3:K$424,5,FALSE),"")</f>
        <v>1375.1</v>
      </c>
      <c r="I120" s="5">
        <f>IFERROR(TablaPrecios[[#This Row],[Precio]]/TablaPrecios[[#This Row],[Cantidad]],0)</f>
        <v>4.5836666666666668</v>
      </c>
      <c r="J120" t="str">
        <f>_xlfn.IFNA(VLOOKUP(TablaPrecios[[#This Row],[Producto]],'[1]Costo Materia Prima'!A$3:K$424,8,FALSE),"")</f>
        <v>PZ</v>
      </c>
      <c r="K120" t="str">
        <f>_xlfn.IFNA(VLOOKUP(TablaPrecios[[#This Row],[Producto]],'[1]Costo Materia Prima'!A$3:K$424,9,FALSE),"-")</f>
        <v>Verificado</v>
      </c>
      <c r="L120" s="96">
        <f>_xlfn.IFNA(VLOOKUP(TablaPrecios[[#This Row],[Producto]],'[1]Costo Materia Prima'!A$3:K$424,11,FALSE),"")</f>
        <v>46042</v>
      </c>
    </row>
    <row r="121" spans="1:12" x14ac:dyDescent="0.2">
      <c r="A121" t="s">
        <v>275</v>
      </c>
      <c r="B121" t="s">
        <v>275</v>
      </c>
      <c r="C121" s="81">
        <v>60538819448</v>
      </c>
      <c r="D121" t="s">
        <v>276</v>
      </c>
      <c r="E121" t="s">
        <v>277</v>
      </c>
      <c r="F121">
        <f>_xlfn.IFNA(VLOOKUP(TablaPrecios[[#This Row],[Producto]],'[1]Costo Materia Prima'!A$3:K$424,3,FALSE),"")</f>
        <v>730</v>
      </c>
      <c r="G121" t="str">
        <f>_xlfn.IFNA(VLOOKUP(TablaPrecios[[#This Row],[Producto]],'[1]Costo Materia Prima'!A$3:K$424,4,FALSE),"")</f>
        <v>KG</v>
      </c>
      <c r="H121" s="5">
        <f>_xlfn.IFNA(VLOOKUP(TablaPrecios[[#This Row],[Producto]],'[1]Costo Materia Prima'!A$3:K$424,5,FALSE),"")</f>
        <v>58400</v>
      </c>
      <c r="I121" s="5">
        <f>IFERROR(TablaPrecios[[#This Row],[Precio]]/TablaPrecios[[#This Row],[Cantidad]],0)</f>
        <v>80</v>
      </c>
      <c r="J121" t="str">
        <f>_xlfn.IFNA(VLOOKUP(TablaPrecios[[#This Row],[Producto]],'[1]Costo Materia Prima'!A$3:K$424,8,FALSE),"")</f>
        <v>KG</v>
      </c>
      <c r="K121" t="str">
        <f>_xlfn.IFNA(VLOOKUP(TablaPrecios[[#This Row],[Producto]],'[1]Costo Materia Prima'!A$3:K$424,9,FALSE),"-")</f>
        <v>Verificado</v>
      </c>
      <c r="L121" s="96">
        <f>_xlfn.IFNA(VLOOKUP(TablaPrecios[[#This Row],[Producto]],'[1]Costo Materia Prima'!A$3:K$424,11,FALSE),"")</f>
        <v>46042</v>
      </c>
    </row>
    <row r="122" spans="1:12" x14ac:dyDescent="0.2">
      <c r="A122" t="s">
        <v>275</v>
      </c>
      <c r="B122" t="s">
        <v>275</v>
      </c>
      <c r="C122" s="81">
        <v>70646024118</v>
      </c>
      <c r="D122" t="s">
        <v>423</v>
      </c>
      <c r="E122" t="s">
        <v>278</v>
      </c>
      <c r="F122">
        <f>_xlfn.IFNA(VLOOKUP(TablaPrecios[[#This Row],[Producto]],'[1]Costo Materia Prima'!A$3:K$424,3,FALSE),"")</f>
        <v>110.592</v>
      </c>
      <c r="G122" t="str">
        <f>_xlfn.IFNA(VLOOKUP(TablaPrecios[[#This Row],[Producto]],'[1]Costo Materia Prima'!A$3:K$424,4,FALSE),"")</f>
        <v>KG</v>
      </c>
      <c r="H122" s="5">
        <f>_xlfn.IFNA(VLOOKUP(TablaPrecios[[#This Row],[Producto]],'[1]Costo Materia Prima'!A$3:K$424,5,FALSE),"")</f>
        <v>32750.14</v>
      </c>
      <c r="I122" s="5">
        <f>IFERROR(TablaPrecios[[#This Row],[Precio]]/TablaPrecios[[#This Row],[Cantidad]],0)</f>
        <v>296.13480179398147</v>
      </c>
      <c r="J122" t="str">
        <f>_xlfn.IFNA(VLOOKUP(TablaPrecios[[#This Row],[Producto]],'[1]Costo Materia Prima'!A$3:K$424,8,FALSE),"")</f>
        <v>KG</v>
      </c>
      <c r="K122" t="str">
        <f>_xlfn.IFNA(VLOOKUP(TablaPrecios[[#This Row],[Producto]],'[1]Costo Materia Prima'!A$3:K$424,9,FALSE),"-")</f>
        <v>Verificado</v>
      </c>
      <c r="L122" s="96">
        <f>_xlfn.IFNA(VLOOKUP(TablaPrecios[[#This Row],[Producto]],'[1]Costo Materia Prima'!A$3:K$424,11,FALSE),"")</f>
        <v>46042</v>
      </c>
    </row>
    <row r="123" spans="1:12" x14ac:dyDescent="0.2">
      <c r="A123" t="s">
        <v>275</v>
      </c>
      <c r="B123" t="s">
        <v>275</v>
      </c>
      <c r="C123" s="81">
        <v>4135191356</v>
      </c>
      <c r="D123" t="s">
        <v>279</v>
      </c>
      <c r="E123" t="s">
        <v>280</v>
      </c>
      <c r="F123">
        <f>_xlfn.IFNA(VLOOKUP(TablaPrecios[[#This Row],[Producto]],'[1]Costo Materia Prima'!A$3:K$424,3,FALSE),"")</f>
        <v>8.8000000000000007</v>
      </c>
      <c r="G123" t="str">
        <f>_xlfn.IFNA(VLOOKUP(TablaPrecios[[#This Row],[Producto]],'[1]Costo Materia Prima'!A$3:K$424,4,FALSE),"")</f>
        <v>KG</v>
      </c>
      <c r="H123" s="5">
        <f>_xlfn.IFNA(VLOOKUP(TablaPrecios[[#This Row],[Producto]],'[1]Costo Materia Prima'!A$3:K$424,5,FALSE),"")</f>
        <v>2579.96</v>
      </c>
      <c r="I123" s="5">
        <f>IFERROR(TablaPrecios[[#This Row],[Precio]]/TablaPrecios[[#This Row],[Cantidad]],0)</f>
        <v>293.17727272727268</v>
      </c>
      <c r="J123" t="str">
        <f>_xlfn.IFNA(VLOOKUP(TablaPrecios[[#This Row],[Producto]],'[1]Costo Materia Prima'!A$3:K$424,8,FALSE),"")</f>
        <v>KG</v>
      </c>
      <c r="K123" t="str">
        <f>_xlfn.IFNA(VLOOKUP(TablaPrecios[[#This Row],[Producto]],'[1]Costo Materia Prima'!A$3:K$424,9,FALSE),"-")</f>
        <v>Verificado</v>
      </c>
      <c r="L123" s="96">
        <f>_xlfn.IFNA(VLOOKUP(TablaPrecios[[#This Row],[Producto]],'[1]Costo Materia Prima'!A$3:K$424,11,FALSE),"")</f>
        <v>46042</v>
      </c>
    </row>
    <row r="124" spans="1:12" x14ac:dyDescent="0.2">
      <c r="A124" t="s">
        <v>275</v>
      </c>
      <c r="B124" t="s">
        <v>275</v>
      </c>
      <c r="C124" s="81"/>
      <c r="D124" t="s">
        <v>281</v>
      </c>
      <c r="E124" t="s">
        <v>281</v>
      </c>
      <c r="F124">
        <f>_xlfn.IFNA(VLOOKUP(TablaPrecios[[#This Row],[Producto]],'[1]Costo Materia Prima'!A$3:K$424,3,FALSE),"")</f>
        <v>22</v>
      </c>
      <c r="G124" t="str">
        <f>_xlfn.IFNA(VLOOKUP(TablaPrecios[[#This Row],[Producto]],'[1]Costo Materia Prima'!A$3:K$424,4,FALSE),"")</f>
        <v>LT</v>
      </c>
      <c r="H124" s="5">
        <f>_xlfn.IFNA(VLOOKUP(TablaPrecios[[#This Row],[Producto]],'[1]Costo Materia Prima'!A$3:K$424,5,FALSE),"")</f>
        <v>1640.01</v>
      </c>
      <c r="I124" s="5">
        <f>IFERROR(TablaPrecios[[#This Row],[Precio]]/TablaPrecios[[#This Row],[Cantidad]],0)</f>
        <v>74.545909090909092</v>
      </c>
      <c r="J124" t="str">
        <f>_xlfn.IFNA(VLOOKUP(TablaPrecios[[#This Row],[Producto]],'[1]Costo Materia Prima'!A$3:K$424,8,FALSE),"")</f>
        <v>LT</v>
      </c>
      <c r="K124" t="str">
        <f>_xlfn.IFNA(VLOOKUP(TablaPrecios[[#This Row],[Producto]],'[1]Costo Materia Prima'!A$3:K$424,9,FALSE),"-")</f>
        <v>Verificado</v>
      </c>
      <c r="L124" s="96">
        <f>_xlfn.IFNA(VLOOKUP(TablaPrecios[[#This Row],[Producto]],'[1]Costo Materia Prima'!A$3:K$424,11,FALSE),"")</f>
        <v>46024</v>
      </c>
    </row>
    <row r="125" spans="1:12" x14ac:dyDescent="0.2">
      <c r="A125" t="s">
        <v>275</v>
      </c>
      <c r="B125" t="s">
        <v>275</v>
      </c>
      <c r="C125" s="81"/>
      <c r="D125" t="s">
        <v>282</v>
      </c>
      <c r="E125" t="s">
        <v>283</v>
      </c>
      <c r="F125">
        <f>_xlfn.IFNA(VLOOKUP(TablaPrecios[[#This Row],[Producto]],'[1]Costo Materia Prima'!A$3:K$424,3,FALSE),"")</f>
        <v>0</v>
      </c>
      <c r="G125" t="str">
        <f>_xlfn.IFNA(VLOOKUP(TablaPrecios[[#This Row],[Producto]],'[1]Costo Materia Prima'!A$3:K$424,4,FALSE),"")</f>
        <v>KG</v>
      </c>
      <c r="H125" s="5">
        <f>_xlfn.IFNA(VLOOKUP(TablaPrecios[[#This Row],[Producto]],'[1]Costo Materia Prima'!A$3:K$424,5,FALSE),"")</f>
        <v>0</v>
      </c>
      <c r="I125" s="5">
        <f>IFERROR(TablaPrecios[[#This Row],[Precio]]/TablaPrecios[[#This Row],[Cantidad]],0)</f>
        <v>0</v>
      </c>
      <c r="J125" t="str">
        <f>_xlfn.IFNA(VLOOKUP(TablaPrecios[[#This Row],[Producto]],'[1]Costo Materia Prima'!A$3:K$424,8,FALSE),"")</f>
        <v>KG</v>
      </c>
      <c r="K125" t="str">
        <f>_xlfn.IFNA(VLOOKUP(TablaPrecios[[#This Row],[Producto]],'[1]Costo Materia Prima'!A$3:K$424,9,FALSE),"-")</f>
        <v>Verificado</v>
      </c>
      <c r="L125" s="96">
        <f>_xlfn.IFNA(VLOOKUP(TablaPrecios[[#This Row],[Producto]],'[1]Costo Materia Prima'!A$3:K$424,11,FALSE),"")</f>
        <v>46024</v>
      </c>
    </row>
    <row r="126" spans="1:12" x14ac:dyDescent="0.2">
      <c r="A126" t="s">
        <v>275</v>
      </c>
      <c r="B126" t="s">
        <v>275</v>
      </c>
      <c r="C126" s="81"/>
      <c r="D126" t="s">
        <v>284</v>
      </c>
      <c r="E126" t="s">
        <v>284</v>
      </c>
      <c r="F126">
        <f>_xlfn.IFNA(VLOOKUP(TablaPrecios[[#This Row],[Producto]],'[1]Costo Materia Prima'!A$3:K$424,3,FALSE),"")</f>
        <v>25</v>
      </c>
      <c r="G126" t="str">
        <f>_xlfn.IFNA(VLOOKUP(TablaPrecios[[#This Row],[Producto]],'[1]Costo Materia Prima'!A$3:K$424,4,FALSE),"")</f>
        <v>KG</v>
      </c>
      <c r="H126" s="5">
        <f>_xlfn.IFNA(VLOOKUP(TablaPrecios[[#This Row],[Producto]],'[1]Costo Materia Prima'!A$3:K$424,5,FALSE),"")</f>
        <v>637.5</v>
      </c>
      <c r="I126" s="5">
        <f>IFERROR(TablaPrecios[[#This Row],[Precio]]/TablaPrecios[[#This Row],[Cantidad]],0)</f>
        <v>25.5</v>
      </c>
      <c r="J126" t="str">
        <f>_xlfn.IFNA(VLOOKUP(TablaPrecios[[#This Row],[Producto]],'[1]Costo Materia Prima'!A$3:K$424,8,FALSE),"")</f>
        <v>KG</v>
      </c>
      <c r="K126" t="str">
        <f>_xlfn.IFNA(VLOOKUP(TablaPrecios[[#This Row],[Producto]],'[1]Costo Materia Prima'!A$3:K$424,9,FALSE),"-")</f>
        <v>Verificado</v>
      </c>
      <c r="L126" s="96">
        <f>_xlfn.IFNA(VLOOKUP(TablaPrecios[[#This Row],[Producto]],'[1]Costo Materia Prima'!A$3:K$424,11,FALSE),"")</f>
        <v>46042</v>
      </c>
    </row>
    <row r="127" spans="1:12" x14ac:dyDescent="0.2">
      <c r="A127" t="s">
        <v>275</v>
      </c>
      <c r="B127" t="s">
        <v>275</v>
      </c>
      <c r="C127" s="81"/>
      <c r="D127" t="s">
        <v>285</v>
      </c>
      <c r="E127" t="s">
        <v>285</v>
      </c>
      <c r="F127">
        <f>_xlfn.IFNA(VLOOKUP(TablaPrecios[[#This Row],[Producto]],'[1]Costo Materia Prima'!A$3:K$424,3,FALSE),"")</f>
        <v>6</v>
      </c>
      <c r="G127" t="str">
        <f>_xlfn.IFNA(VLOOKUP(TablaPrecios[[#This Row],[Producto]],'[1]Costo Materia Prima'!A$3:K$424,4,FALSE),"")</f>
        <v>KG</v>
      </c>
      <c r="H127" s="5">
        <f>_xlfn.IFNA(VLOOKUP(TablaPrecios[[#This Row],[Producto]],'[1]Costo Materia Prima'!A$3:K$424,5,FALSE),"")</f>
        <v>1198.8</v>
      </c>
      <c r="I127" s="5">
        <f>IFERROR(TablaPrecios[[#This Row],[Precio]]/TablaPrecios[[#This Row],[Cantidad]],0)</f>
        <v>199.79999999999998</v>
      </c>
      <c r="J127" t="str">
        <f>_xlfn.IFNA(VLOOKUP(TablaPrecios[[#This Row],[Producto]],'[1]Costo Materia Prima'!A$3:K$424,8,FALSE),"")</f>
        <v>KG</v>
      </c>
      <c r="K127" t="str">
        <f>_xlfn.IFNA(VLOOKUP(TablaPrecios[[#This Row],[Producto]],'[1]Costo Materia Prima'!A$3:K$424,9,FALSE),"-")</f>
        <v>Verificado</v>
      </c>
      <c r="L127" s="96">
        <f>_xlfn.IFNA(VLOOKUP(TablaPrecios[[#This Row],[Producto]],'[1]Costo Materia Prima'!A$3:K$424,11,FALSE),"")</f>
        <v>46042</v>
      </c>
    </row>
    <row r="128" spans="1:12" x14ac:dyDescent="0.2">
      <c r="A128" t="s">
        <v>275</v>
      </c>
      <c r="B128" t="s">
        <v>275</v>
      </c>
      <c r="C128" s="81"/>
      <c r="D128" t="s">
        <v>780</v>
      </c>
      <c r="E128" t="s">
        <v>286</v>
      </c>
      <c r="F128">
        <f>_xlfn.IFNA(VLOOKUP(TablaPrecios[[#This Row],[Producto]],'[1]Costo Materia Prima'!A$3:K$424,3,FALSE),"")</f>
        <v>460</v>
      </c>
      <c r="G128" t="str">
        <f>_xlfn.IFNA(VLOOKUP(TablaPrecios[[#This Row],[Producto]],'[1]Costo Materia Prima'!A$3:K$424,4,FALSE),"")</f>
        <v>PZ</v>
      </c>
      <c r="H128" s="5">
        <f>_xlfn.IFNA(VLOOKUP(TablaPrecios[[#This Row],[Producto]],'[1]Costo Materia Prima'!A$3:K$424,5,FALSE),"")</f>
        <v>1341.01</v>
      </c>
      <c r="I128" s="5">
        <f>IFERROR(TablaPrecios[[#This Row],[Precio]]/TablaPrecios[[#This Row],[Cantidad]],0)</f>
        <v>2.9152391304347827</v>
      </c>
      <c r="J128" t="str">
        <f>_xlfn.IFNA(VLOOKUP(TablaPrecios[[#This Row],[Producto]],'[1]Costo Materia Prima'!A$3:K$424,8,FALSE),"")</f>
        <v>PZ</v>
      </c>
      <c r="K128" t="str">
        <f>_xlfn.IFNA(VLOOKUP(TablaPrecios[[#This Row],[Producto]],'[1]Costo Materia Prima'!A$3:K$424,9,FALSE),"-")</f>
        <v>Verificado</v>
      </c>
      <c r="L128" s="96">
        <f>_xlfn.IFNA(VLOOKUP(TablaPrecios[[#This Row],[Producto]],'[1]Costo Materia Prima'!A$3:K$424,11,FALSE),"")</f>
        <v>46042</v>
      </c>
    </row>
    <row r="129" spans="1:12" x14ac:dyDescent="0.2">
      <c r="A129" t="s">
        <v>275</v>
      </c>
      <c r="B129" t="s">
        <v>275</v>
      </c>
      <c r="C129" s="81">
        <v>1093400907</v>
      </c>
      <c r="E129" t="s">
        <v>287</v>
      </c>
      <c r="F129" t="str">
        <f>_xlfn.IFNA(VLOOKUP(TablaPrecios[[#This Row],[Producto]],'[1]Costo Materia Prima'!A$3:K$424,3,FALSE),"")</f>
        <v/>
      </c>
      <c r="G129" t="str">
        <f>_xlfn.IFNA(VLOOKUP(TablaPrecios[[#This Row],[Producto]],'[1]Costo Materia Prima'!A$3:K$424,4,FALSE),"")</f>
        <v/>
      </c>
      <c r="H129" s="5" t="str">
        <f>_xlfn.IFNA(VLOOKUP(TablaPrecios[[#This Row],[Producto]],'[1]Costo Materia Prima'!A$3:K$424,5,FALSE),"")</f>
        <v/>
      </c>
      <c r="I129" s="5">
        <f>IFERROR(TablaPrecios[[#This Row],[Precio]]/TablaPrecios[[#This Row],[Cantidad]],0)</f>
        <v>0</v>
      </c>
      <c r="J129" t="str">
        <f>_xlfn.IFNA(VLOOKUP(TablaPrecios[[#This Row],[Producto]],'[1]Costo Materia Prima'!A$3:K$424,8,FALSE),"")</f>
        <v/>
      </c>
      <c r="K129" t="str">
        <f>_xlfn.IFNA(VLOOKUP(TablaPrecios[[#This Row],[Producto]],'[1]Costo Materia Prima'!A$3:K$424,9,FALSE),"-")</f>
        <v>-</v>
      </c>
      <c r="L129" s="96" t="str">
        <f>_xlfn.IFNA(VLOOKUP(TablaPrecios[[#This Row],[Producto]],'[1]Costo Materia Prima'!A$3:K$424,11,FALSE),"")</f>
        <v/>
      </c>
    </row>
    <row r="130" spans="1:12" x14ac:dyDescent="0.2">
      <c r="A130" t="s">
        <v>275</v>
      </c>
      <c r="B130" t="s">
        <v>275</v>
      </c>
      <c r="C130" s="81">
        <v>489502676403</v>
      </c>
      <c r="E130" t="s">
        <v>288</v>
      </c>
      <c r="F130" t="str">
        <f>_xlfn.IFNA(VLOOKUP(TablaPrecios[[#This Row],[Producto]],'[1]Costo Materia Prima'!A$3:K$424,3,FALSE),"")</f>
        <v/>
      </c>
      <c r="G130" t="str">
        <f>_xlfn.IFNA(VLOOKUP(TablaPrecios[[#This Row],[Producto]],'[1]Costo Materia Prima'!A$3:K$424,4,FALSE),"")</f>
        <v/>
      </c>
      <c r="H130" s="5" t="str">
        <f>_xlfn.IFNA(VLOOKUP(TablaPrecios[[#This Row],[Producto]],'[1]Costo Materia Prima'!A$3:K$424,5,FALSE),"")</f>
        <v/>
      </c>
      <c r="I130" s="5">
        <f>IFERROR(TablaPrecios[[#This Row],[Precio]]/TablaPrecios[[#This Row],[Cantidad]],0)</f>
        <v>0</v>
      </c>
      <c r="J130" t="str">
        <f>_xlfn.IFNA(VLOOKUP(TablaPrecios[[#This Row],[Producto]],'[1]Costo Materia Prima'!A$3:K$424,8,FALSE),"")</f>
        <v/>
      </c>
      <c r="K130" t="str">
        <f>_xlfn.IFNA(VLOOKUP(TablaPrecios[[#This Row],[Producto]],'[1]Costo Materia Prima'!A$3:K$424,9,FALSE),"-")</f>
        <v>-</v>
      </c>
      <c r="L130" s="96" t="str">
        <f>_xlfn.IFNA(VLOOKUP(TablaPrecios[[#This Row],[Producto]],'[1]Costo Materia Prima'!A$3:K$424,11,FALSE),"")</f>
        <v/>
      </c>
    </row>
    <row r="131" spans="1:12" x14ac:dyDescent="0.2">
      <c r="A131" t="s">
        <v>275</v>
      </c>
      <c r="B131" t="s">
        <v>275</v>
      </c>
      <c r="C131" s="81">
        <v>60538800006</v>
      </c>
      <c r="E131" t="s">
        <v>289</v>
      </c>
      <c r="F131" t="str">
        <f>_xlfn.IFNA(VLOOKUP(TablaPrecios[[#This Row],[Producto]],'[1]Costo Materia Prima'!A$3:K$424,3,FALSE),"")</f>
        <v/>
      </c>
      <c r="G131" t="str">
        <f>_xlfn.IFNA(VLOOKUP(TablaPrecios[[#This Row],[Producto]],'[1]Costo Materia Prima'!A$3:K$424,4,FALSE),"")</f>
        <v/>
      </c>
      <c r="H131" s="5" t="str">
        <f>_xlfn.IFNA(VLOOKUP(TablaPrecios[[#This Row],[Producto]],'[1]Costo Materia Prima'!A$3:K$424,5,FALSE),"")</f>
        <v/>
      </c>
      <c r="I131" s="5">
        <f>IFERROR(TablaPrecios[[#This Row],[Precio]]/TablaPrecios[[#This Row],[Cantidad]],0)</f>
        <v>0</v>
      </c>
      <c r="J131" t="str">
        <f>_xlfn.IFNA(VLOOKUP(TablaPrecios[[#This Row],[Producto]],'[1]Costo Materia Prima'!A$3:K$424,8,FALSE),"")</f>
        <v/>
      </c>
      <c r="K131" t="str">
        <f>_xlfn.IFNA(VLOOKUP(TablaPrecios[[#This Row],[Producto]],'[1]Costo Materia Prima'!A$3:K$424,9,FALSE),"-")</f>
        <v>-</v>
      </c>
      <c r="L131" s="96" t="str">
        <f>_xlfn.IFNA(VLOOKUP(TablaPrecios[[#This Row],[Producto]],'[1]Costo Materia Prima'!A$3:K$424,11,FALSE),"")</f>
        <v/>
      </c>
    </row>
    <row r="132" spans="1:12" x14ac:dyDescent="0.2">
      <c r="A132" t="s">
        <v>275</v>
      </c>
      <c r="B132" t="s">
        <v>275</v>
      </c>
      <c r="C132" s="81">
        <v>5400075146</v>
      </c>
      <c r="E132" t="s">
        <v>290</v>
      </c>
      <c r="F132" t="str">
        <f>_xlfn.IFNA(VLOOKUP(TablaPrecios[[#This Row],[Producto]],'[1]Costo Materia Prima'!A$3:K$424,3,FALSE),"")</f>
        <v/>
      </c>
      <c r="G132" t="str">
        <f>_xlfn.IFNA(VLOOKUP(TablaPrecios[[#This Row],[Producto]],'[1]Costo Materia Prima'!A$3:K$424,4,FALSE),"")</f>
        <v/>
      </c>
      <c r="H132" s="5" t="str">
        <f>_xlfn.IFNA(VLOOKUP(TablaPrecios[[#This Row],[Producto]],'[1]Costo Materia Prima'!A$3:K$424,5,FALSE),"")</f>
        <v/>
      </c>
      <c r="I132" s="5">
        <f>IFERROR(TablaPrecios[[#This Row],[Precio]]/TablaPrecios[[#This Row],[Cantidad]],0)</f>
        <v>0</v>
      </c>
      <c r="J132" t="str">
        <f>_xlfn.IFNA(VLOOKUP(TablaPrecios[[#This Row],[Producto]],'[1]Costo Materia Prima'!A$3:K$424,8,FALSE),"")</f>
        <v/>
      </c>
      <c r="K132" t="str">
        <f>_xlfn.IFNA(VLOOKUP(TablaPrecios[[#This Row],[Producto]],'[1]Costo Materia Prima'!A$3:K$424,9,FALSE),"-")</f>
        <v>-</v>
      </c>
      <c r="L132" s="96" t="str">
        <f>_xlfn.IFNA(VLOOKUP(TablaPrecios[[#This Row],[Producto]],'[1]Costo Materia Prima'!A$3:K$424,11,FALSE),"")</f>
        <v/>
      </c>
    </row>
    <row r="133" spans="1:12" x14ac:dyDescent="0.2">
      <c r="A133" t="s">
        <v>275</v>
      </c>
      <c r="B133" t="s">
        <v>275</v>
      </c>
      <c r="C133" s="81">
        <v>60538800007</v>
      </c>
      <c r="E133" t="s">
        <v>291</v>
      </c>
      <c r="F133" t="str">
        <f>_xlfn.IFNA(VLOOKUP(TablaPrecios[[#This Row],[Producto]],'[1]Costo Materia Prima'!A$3:K$424,3,FALSE),"")</f>
        <v/>
      </c>
      <c r="G133" t="str">
        <f>_xlfn.IFNA(VLOOKUP(TablaPrecios[[#This Row],[Producto]],'[1]Costo Materia Prima'!A$3:K$424,4,FALSE),"")</f>
        <v/>
      </c>
      <c r="H133" s="5" t="str">
        <f>_xlfn.IFNA(VLOOKUP(TablaPrecios[[#This Row],[Producto]],'[1]Costo Materia Prima'!A$3:K$424,5,FALSE),"")</f>
        <v/>
      </c>
      <c r="I133" s="5">
        <f>IFERROR(TablaPrecios[[#This Row],[Precio]]/TablaPrecios[[#This Row],[Cantidad]],0)</f>
        <v>0</v>
      </c>
      <c r="J133" t="str">
        <f>_xlfn.IFNA(VLOOKUP(TablaPrecios[[#This Row],[Producto]],'[1]Costo Materia Prima'!A$3:K$424,8,FALSE),"")</f>
        <v/>
      </c>
      <c r="K133" t="str">
        <f>_xlfn.IFNA(VLOOKUP(TablaPrecios[[#This Row],[Producto]],'[1]Costo Materia Prima'!A$3:K$424,9,FALSE),"-")</f>
        <v>-</v>
      </c>
      <c r="L133" s="96" t="str">
        <f>_xlfn.IFNA(VLOOKUP(TablaPrecios[[#This Row],[Producto]],'[1]Costo Materia Prima'!A$3:K$424,11,FALSE),"")</f>
        <v/>
      </c>
    </row>
    <row r="134" spans="1:12" x14ac:dyDescent="0.2">
      <c r="A134" t="s">
        <v>275</v>
      </c>
      <c r="B134" t="s">
        <v>275</v>
      </c>
      <c r="C134" s="81">
        <v>72167200039</v>
      </c>
      <c r="E134" t="s">
        <v>292</v>
      </c>
      <c r="F134" t="str">
        <f>_xlfn.IFNA(VLOOKUP(TablaPrecios[[#This Row],[Producto]],'[1]Costo Materia Prima'!A$3:K$424,3,FALSE),"")</f>
        <v/>
      </c>
      <c r="G134" t="str">
        <f>_xlfn.IFNA(VLOOKUP(TablaPrecios[[#This Row],[Producto]],'[1]Costo Materia Prima'!A$3:K$424,4,FALSE),"")</f>
        <v/>
      </c>
      <c r="H134" s="5" t="str">
        <f>_xlfn.IFNA(VLOOKUP(TablaPrecios[[#This Row],[Producto]],'[1]Costo Materia Prima'!A$3:K$424,5,FALSE),"")</f>
        <v/>
      </c>
      <c r="I134" s="5">
        <f>IFERROR(TablaPrecios[[#This Row],[Precio]]/TablaPrecios[[#This Row],[Cantidad]],0)</f>
        <v>0</v>
      </c>
      <c r="J134" t="str">
        <f>_xlfn.IFNA(VLOOKUP(TablaPrecios[[#This Row],[Producto]],'[1]Costo Materia Prima'!A$3:K$424,8,FALSE),"")</f>
        <v/>
      </c>
      <c r="K134" t="str">
        <f>_xlfn.IFNA(VLOOKUP(TablaPrecios[[#This Row],[Producto]],'[1]Costo Materia Prima'!A$3:K$424,9,FALSE),"-")</f>
        <v>-</v>
      </c>
      <c r="L134" s="96" t="str">
        <f>_xlfn.IFNA(VLOOKUP(TablaPrecios[[#This Row],[Producto]],'[1]Costo Materia Prima'!A$3:K$424,11,FALSE),"")</f>
        <v/>
      </c>
    </row>
    <row r="135" spans="1:12" x14ac:dyDescent="0.2">
      <c r="A135" t="s">
        <v>275</v>
      </c>
      <c r="B135" t="s">
        <v>275</v>
      </c>
      <c r="C135" s="81">
        <v>750102540341</v>
      </c>
      <c r="E135" t="s">
        <v>293</v>
      </c>
      <c r="F135" t="str">
        <f>_xlfn.IFNA(VLOOKUP(TablaPrecios[[#This Row],[Producto]],'[1]Costo Materia Prima'!A$3:K$424,3,FALSE),"")</f>
        <v/>
      </c>
      <c r="G135" t="str">
        <f>_xlfn.IFNA(VLOOKUP(TablaPrecios[[#This Row],[Producto]],'[1]Costo Materia Prima'!A$3:K$424,4,FALSE),"")</f>
        <v/>
      </c>
      <c r="H135" s="5" t="str">
        <f>_xlfn.IFNA(VLOOKUP(TablaPrecios[[#This Row],[Producto]],'[1]Costo Materia Prima'!A$3:K$424,5,FALSE),"")</f>
        <v/>
      </c>
      <c r="I135" s="5">
        <f>IFERROR(TablaPrecios[[#This Row],[Precio]]/TablaPrecios[[#This Row],[Cantidad]],0)</f>
        <v>0</v>
      </c>
      <c r="J135" t="str">
        <f>_xlfn.IFNA(VLOOKUP(TablaPrecios[[#This Row],[Producto]],'[1]Costo Materia Prima'!A$3:K$424,8,FALSE),"")</f>
        <v/>
      </c>
      <c r="K135" t="str">
        <f>_xlfn.IFNA(VLOOKUP(TablaPrecios[[#This Row],[Producto]],'[1]Costo Materia Prima'!A$3:K$424,9,FALSE),"-")</f>
        <v>-</v>
      </c>
      <c r="L135" s="96" t="str">
        <f>_xlfn.IFNA(VLOOKUP(TablaPrecios[[#This Row],[Producto]],'[1]Costo Materia Prima'!A$3:K$424,11,FALSE),"")</f>
        <v/>
      </c>
    </row>
    <row r="136" spans="1:12" x14ac:dyDescent="0.2">
      <c r="A136" t="s">
        <v>275</v>
      </c>
      <c r="B136" t="s">
        <v>275</v>
      </c>
      <c r="C136" s="81">
        <v>750633930484</v>
      </c>
      <c r="E136" t="s">
        <v>294</v>
      </c>
      <c r="F136" t="str">
        <f>_xlfn.IFNA(VLOOKUP(TablaPrecios[[#This Row],[Producto]],'[1]Costo Materia Prima'!A$3:K$424,3,FALSE),"")</f>
        <v/>
      </c>
      <c r="G136" t="str">
        <f>_xlfn.IFNA(VLOOKUP(TablaPrecios[[#This Row],[Producto]],'[1]Costo Materia Prima'!A$3:K$424,4,FALSE),"")</f>
        <v/>
      </c>
      <c r="H136" s="5" t="str">
        <f>_xlfn.IFNA(VLOOKUP(TablaPrecios[[#This Row],[Producto]],'[1]Costo Materia Prima'!A$3:K$424,5,FALSE),"")</f>
        <v/>
      </c>
      <c r="I136" s="5">
        <f>IFERROR(TablaPrecios[[#This Row],[Precio]]/TablaPrecios[[#This Row],[Cantidad]],0)</f>
        <v>0</v>
      </c>
      <c r="J136" t="str">
        <f>_xlfn.IFNA(VLOOKUP(TablaPrecios[[#This Row],[Producto]],'[1]Costo Materia Prima'!A$3:K$424,8,FALSE),"")</f>
        <v/>
      </c>
      <c r="K136" t="str">
        <f>_xlfn.IFNA(VLOOKUP(TablaPrecios[[#This Row],[Producto]],'[1]Costo Materia Prima'!A$3:K$424,9,FALSE),"-")</f>
        <v>-</v>
      </c>
      <c r="L136" s="96" t="str">
        <f>_xlfn.IFNA(VLOOKUP(TablaPrecios[[#This Row],[Producto]],'[1]Costo Materia Prima'!A$3:K$424,11,FALSE),"")</f>
        <v/>
      </c>
    </row>
    <row r="137" spans="1:12" x14ac:dyDescent="0.2">
      <c r="A137" t="s">
        <v>275</v>
      </c>
      <c r="B137" t="s">
        <v>275</v>
      </c>
      <c r="C137" s="81">
        <v>750194346134</v>
      </c>
      <c r="E137" t="s">
        <v>295</v>
      </c>
      <c r="F137" t="str">
        <f>_xlfn.IFNA(VLOOKUP(TablaPrecios[[#This Row],[Producto]],'[1]Costo Materia Prima'!A$3:K$424,3,FALSE),"")</f>
        <v/>
      </c>
      <c r="G137" t="str">
        <f>_xlfn.IFNA(VLOOKUP(TablaPrecios[[#This Row],[Producto]],'[1]Costo Materia Prima'!A$3:K$424,4,FALSE),"")</f>
        <v/>
      </c>
      <c r="H137" s="5" t="str">
        <f>_xlfn.IFNA(VLOOKUP(TablaPrecios[[#This Row],[Producto]],'[1]Costo Materia Prima'!A$3:K$424,5,FALSE),"")</f>
        <v/>
      </c>
      <c r="I137" s="5">
        <f>IFERROR(TablaPrecios[[#This Row],[Precio]]/TablaPrecios[[#This Row],[Cantidad]],0)</f>
        <v>0</v>
      </c>
      <c r="J137" t="str">
        <f>_xlfn.IFNA(VLOOKUP(TablaPrecios[[#This Row],[Producto]],'[1]Costo Materia Prima'!A$3:K$424,8,FALSE),"")</f>
        <v/>
      </c>
      <c r="K137" t="str">
        <f>_xlfn.IFNA(VLOOKUP(TablaPrecios[[#This Row],[Producto]],'[1]Costo Materia Prima'!A$3:K$424,9,FALSE),"-")</f>
        <v>-</v>
      </c>
      <c r="L137" s="96" t="str">
        <f>_xlfn.IFNA(VLOOKUP(TablaPrecios[[#This Row],[Producto]],'[1]Costo Materia Prima'!A$3:K$424,11,FALSE),"")</f>
        <v/>
      </c>
    </row>
    <row r="138" spans="1:12" x14ac:dyDescent="0.2">
      <c r="A138" t="s">
        <v>275</v>
      </c>
      <c r="B138" t="s">
        <v>275</v>
      </c>
      <c r="C138" s="81">
        <v>750102600571</v>
      </c>
      <c r="E138" t="s">
        <v>296</v>
      </c>
      <c r="F138" t="str">
        <f>_xlfn.IFNA(VLOOKUP(TablaPrecios[[#This Row],[Producto]],'[1]Costo Materia Prima'!A$3:K$424,3,FALSE),"")</f>
        <v/>
      </c>
      <c r="G138" t="str">
        <f>_xlfn.IFNA(VLOOKUP(TablaPrecios[[#This Row],[Producto]],'[1]Costo Materia Prima'!A$3:K$424,4,FALSE),"")</f>
        <v/>
      </c>
      <c r="H138" s="5" t="str">
        <f>_xlfn.IFNA(VLOOKUP(TablaPrecios[[#This Row],[Producto]],'[1]Costo Materia Prima'!A$3:K$424,5,FALSE),"")</f>
        <v/>
      </c>
      <c r="I138" s="5">
        <f>IFERROR(TablaPrecios[[#This Row],[Precio]]/TablaPrecios[[#This Row],[Cantidad]],0)</f>
        <v>0</v>
      </c>
      <c r="J138" t="str">
        <f>_xlfn.IFNA(VLOOKUP(TablaPrecios[[#This Row],[Producto]],'[1]Costo Materia Prima'!A$3:K$424,8,FALSE),"")</f>
        <v/>
      </c>
      <c r="K138" t="str">
        <f>_xlfn.IFNA(VLOOKUP(TablaPrecios[[#This Row],[Producto]],'[1]Costo Materia Prima'!A$3:K$424,9,FALSE),"-")</f>
        <v>-</v>
      </c>
      <c r="L138" s="96" t="str">
        <f>_xlfn.IFNA(VLOOKUP(TablaPrecios[[#This Row],[Producto]],'[1]Costo Materia Prima'!A$3:K$424,11,FALSE),"")</f>
        <v/>
      </c>
    </row>
    <row r="139" spans="1:12" x14ac:dyDescent="0.2">
      <c r="A139" t="s">
        <v>275</v>
      </c>
      <c r="B139" t="s">
        <v>275</v>
      </c>
      <c r="C139" s="81"/>
      <c r="D139" t="s">
        <v>297</v>
      </c>
      <c r="E139" t="s">
        <v>298</v>
      </c>
      <c r="F139">
        <f>_xlfn.IFNA(VLOOKUP(TablaPrecios[[#This Row],[Producto]],'[1]Costo Materia Prima'!A$3:K$424,3,FALSE),"")</f>
        <v>0</v>
      </c>
      <c r="G139" t="str">
        <f>_xlfn.IFNA(VLOOKUP(TablaPrecios[[#This Row],[Producto]],'[1]Costo Materia Prima'!A$3:K$424,4,FALSE),"")</f>
        <v>KG</v>
      </c>
      <c r="H139" s="5">
        <f>_xlfn.IFNA(VLOOKUP(TablaPrecios[[#This Row],[Producto]],'[1]Costo Materia Prima'!A$3:K$424,5,FALSE),"")</f>
        <v>0</v>
      </c>
      <c r="I139" s="5">
        <f>IFERROR(TablaPrecios[[#This Row],[Precio]]/TablaPrecios[[#This Row],[Cantidad]],0)</f>
        <v>0</v>
      </c>
      <c r="J139" t="str">
        <f>_xlfn.IFNA(VLOOKUP(TablaPrecios[[#This Row],[Producto]],'[1]Costo Materia Prima'!A$3:K$424,8,FALSE),"")</f>
        <v>GR</v>
      </c>
      <c r="K139" t="str">
        <f>_xlfn.IFNA(VLOOKUP(TablaPrecios[[#This Row],[Producto]],'[1]Costo Materia Prima'!A$3:K$424,9,FALSE),"-")</f>
        <v>Verificado</v>
      </c>
      <c r="L139" s="96">
        <f>_xlfn.IFNA(VLOOKUP(TablaPrecios[[#This Row],[Producto]],'[1]Costo Materia Prima'!A$3:K$424,11,FALSE),"")</f>
        <v>46024</v>
      </c>
    </row>
    <row r="140" spans="1:12" x14ac:dyDescent="0.2">
      <c r="A140" t="s">
        <v>275</v>
      </c>
      <c r="B140" t="s">
        <v>275</v>
      </c>
      <c r="C140" s="81"/>
      <c r="D140" t="s">
        <v>299</v>
      </c>
      <c r="E140" t="s">
        <v>300</v>
      </c>
      <c r="F140">
        <f>_xlfn.IFNA(VLOOKUP(TablaPrecios[[#This Row],[Producto]],'[1]Costo Materia Prima'!A$3:K$424,3,FALSE),"")</f>
        <v>90</v>
      </c>
      <c r="G140" t="str">
        <f>_xlfn.IFNA(VLOOKUP(TablaPrecios[[#This Row],[Producto]],'[1]Costo Materia Prima'!A$3:K$424,4,FALSE),"")</f>
        <v>KG</v>
      </c>
      <c r="H140" s="5">
        <f>_xlfn.IFNA(VLOOKUP(TablaPrecios[[#This Row],[Producto]],'[1]Costo Materia Prima'!A$3:K$424,5,FALSE),"")</f>
        <v>6906.25</v>
      </c>
      <c r="I140" s="5">
        <f>IFERROR(TablaPrecios[[#This Row],[Precio]]/TablaPrecios[[#This Row],[Cantidad]],0)</f>
        <v>76.736111111111114</v>
      </c>
      <c r="J140" t="str">
        <f>_xlfn.IFNA(VLOOKUP(TablaPrecios[[#This Row],[Producto]],'[1]Costo Materia Prima'!A$3:K$424,8,FALSE),"")</f>
        <v>KG</v>
      </c>
      <c r="K140" t="str">
        <f>_xlfn.IFNA(VLOOKUP(TablaPrecios[[#This Row],[Producto]],'[1]Costo Materia Prima'!A$3:K$424,9,FALSE),"-")</f>
        <v>Verificado</v>
      </c>
      <c r="L140" s="96">
        <f>_xlfn.IFNA(VLOOKUP(TablaPrecios[[#This Row],[Producto]],'[1]Costo Materia Prima'!A$3:K$424,11,FALSE),"")</f>
        <v>46042</v>
      </c>
    </row>
    <row r="141" spans="1:12" x14ac:dyDescent="0.2">
      <c r="A141" t="s">
        <v>275</v>
      </c>
      <c r="B141" t="s">
        <v>275</v>
      </c>
      <c r="C141" s="81"/>
      <c r="D141" t="s">
        <v>301</v>
      </c>
      <c r="E141" t="s">
        <v>302</v>
      </c>
      <c r="F141">
        <f>_xlfn.IFNA(VLOOKUP(TablaPrecios[[#This Row],[Producto]],'[1]Costo Materia Prima'!A$3:K$424,3,FALSE),"")</f>
        <v>0</v>
      </c>
      <c r="G141" t="str">
        <f>_xlfn.IFNA(VLOOKUP(TablaPrecios[[#This Row],[Producto]],'[1]Costo Materia Prima'!A$3:K$424,4,FALSE),"")</f>
        <v>PZ</v>
      </c>
      <c r="H141" s="5">
        <f>_xlfn.IFNA(VLOOKUP(TablaPrecios[[#This Row],[Producto]],'[1]Costo Materia Prima'!A$3:K$424,5,FALSE),"")</f>
        <v>0</v>
      </c>
      <c r="I141" s="5">
        <f>IFERROR(TablaPrecios[[#This Row],[Precio]]/TablaPrecios[[#This Row],[Cantidad]],0)</f>
        <v>0</v>
      </c>
      <c r="J141" t="str">
        <f>_xlfn.IFNA(VLOOKUP(TablaPrecios[[#This Row],[Producto]],'[1]Costo Materia Prima'!A$3:K$424,8,FALSE),"")</f>
        <v>PZ</v>
      </c>
      <c r="K141" t="str">
        <f>_xlfn.IFNA(VLOOKUP(TablaPrecios[[#This Row],[Producto]],'[1]Costo Materia Prima'!A$3:K$424,9,FALSE),"-")</f>
        <v>Verificado</v>
      </c>
      <c r="L141" s="96">
        <f>_xlfn.IFNA(VLOOKUP(TablaPrecios[[#This Row],[Producto]],'[1]Costo Materia Prima'!A$3:K$424,11,FALSE),"")</f>
        <v>46024</v>
      </c>
    </row>
    <row r="142" spans="1:12" x14ac:dyDescent="0.2">
      <c r="A142" t="s">
        <v>275</v>
      </c>
      <c r="B142" t="s">
        <v>275</v>
      </c>
      <c r="C142" s="81"/>
      <c r="D142" t="s">
        <v>303</v>
      </c>
      <c r="E142" t="s">
        <v>304</v>
      </c>
      <c r="F142">
        <f>_xlfn.IFNA(VLOOKUP(TablaPrecios[[#This Row],[Producto]],'[1]Costo Materia Prima'!A$3:K$424,3,FALSE),"")</f>
        <v>12</v>
      </c>
      <c r="G142" t="str">
        <f>_xlfn.IFNA(VLOOKUP(TablaPrecios[[#This Row],[Producto]],'[1]Costo Materia Prima'!A$3:K$424,4,FALSE),"")</f>
        <v>KG</v>
      </c>
      <c r="H142" s="5">
        <f>_xlfn.IFNA(VLOOKUP(TablaPrecios[[#This Row],[Producto]],'[1]Costo Materia Prima'!A$3:K$424,5,FALSE),"")</f>
        <v>176.5</v>
      </c>
      <c r="I142" s="5">
        <f>IFERROR(TablaPrecios[[#This Row],[Precio]]/TablaPrecios[[#This Row],[Cantidad]],0)</f>
        <v>14.708333333333334</v>
      </c>
      <c r="J142" t="str">
        <f>_xlfn.IFNA(VLOOKUP(TablaPrecios[[#This Row],[Producto]],'[1]Costo Materia Prima'!A$3:K$424,8,FALSE),"")</f>
        <v>KG</v>
      </c>
      <c r="K142" t="str">
        <f>_xlfn.IFNA(VLOOKUP(TablaPrecios[[#This Row],[Producto]],'[1]Costo Materia Prima'!A$3:K$424,9,FALSE),"-")</f>
        <v>Verificado</v>
      </c>
      <c r="L142" s="96">
        <f>_xlfn.IFNA(VLOOKUP(TablaPrecios[[#This Row],[Producto]],'[1]Costo Materia Prima'!A$3:K$424,11,FALSE),"")</f>
        <v>46042</v>
      </c>
    </row>
    <row r="143" spans="1:12" x14ac:dyDescent="0.2">
      <c r="A143" t="s">
        <v>275</v>
      </c>
      <c r="B143" t="s">
        <v>275</v>
      </c>
      <c r="C143" s="81"/>
      <c r="D143" t="s">
        <v>305</v>
      </c>
      <c r="E143" t="s">
        <v>306</v>
      </c>
      <c r="F143">
        <f>_xlfn.IFNA(VLOOKUP(TablaPrecios[[#This Row],[Producto]],'[1]Costo Materia Prima'!A$3:K$424,3,FALSE),"")</f>
        <v>0</v>
      </c>
      <c r="G143" t="str">
        <f>_xlfn.IFNA(VLOOKUP(TablaPrecios[[#This Row],[Producto]],'[1]Costo Materia Prima'!A$3:K$424,4,FALSE),"")</f>
        <v>LT</v>
      </c>
      <c r="H143" s="5">
        <f>_xlfn.IFNA(VLOOKUP(TablaPrecios[[#This Row],[Producto]],'[1]Costo Materia Prima'!A$3:K$424,5,FALSE),"")</f>
        <v>0</v>
      </c>
      <c r="I143" s="5">
        <f>IFERROR(TablaPrecios[[#This Row],[Precio]]/TablaPrecios[[#This Row],[Cantidad]],0)</f>
        <v>0</v>
      </c>
      <c r="J143" t="str">
        <f>_xlfn.IFNA(VLOOKUP(TablaPrecios[[#This Row],[Producto]],'[1]Costo Materia Prima'!A$3:K$424,8,FALSE),"")</f>
        <v>LT</v>
      </c>
      <c r="K143" t="str">
        <f>_xlfn.IFNA(VLOOKUP(TablaPrecios[[#This Row],[Producto]],'[1]Costo Materia Prima'!A$3:K$424,9,FALSE),"-")</f>
        <v>Verificado</v>
      </c>
      <c r="L143" s="96">
        <f>_xlfn.IFNA(VLOOKUP(TablaPrecios[[#This Row],[Producto]],'[1]Costo Materia Prima'!A$3:K$424,11,FALSE),"")</f>
        <v>46024</v>
      </c>
    </row>
    <row r="144" spans="1:12" x14ac:dyDescent="0.2">
      <c r="A144" t="s">
        <v>275</v>
      </c>
      <c r="B144" t="s">
        <v>275</v>
      </c>
      <c r="C144" s="81"/>
      <c r="D144" t="s">
        <v>307</v>
      </c>
      <c r="E144" t="s">
        <v>308</v>
      </c>
      <c r="F144">
        <f>_xlfn.IFNA(VLOOKUP(TablaPrecios[[#This Row],[Producto]],'[1]Costo Materia Prima'!A$3:K$424,3,FALSE),"")</f>
        <v>0</v>
      </c>
      <c r="G144" t="str">
        <f>_xlfn.IFNA(VLOOKUP(TablaPrecios[[#This Row],[Producto]],'[1]Costo Materia Prima'!A$3:K$424,4,FALSE),"")</f>
        <v>LT</v>
      </c>
      <c r="H144" s="5">
        <f>_xlfn.IFNA(VLOOKUP(TablaPrecios[[#This Row],[Producto]],'[1]Costo Materia Prima'!A$3:K$424,5,FALSE),"")</f>
        <v>0</v>
      </c>
      <c r="I144" s="5">
        <f>IFERROR(TablaPrecios[[#This Row],[Precio]]/TablaPrecios[[#This Row],[Cantidad]],0)</f>
        <v>0</v>
      </c>
      <c r="J144" t="str">
        <f>_xlfn.IFNA(VLOOKUP(TablaPrecios[[#This Row],[Producto]],'[1]Costo Materia Prima'!A$3:K$424,8,FALSE),"")</f>
        <v>LT</v>
      </c>
      <c r="K144" t="str">
        <f>_xlfn.IFNA(VLOOKUP(TablaPrecios[[#This Row],[Producto]],'[1]Costo Materia Prima'!A$3:K$424,9,FALSE),"-")</f>
        <v>Verificado</v>
      </c>
      <c r="L144" s="96">
        <f>_xlfn.IFNA(VLOOKUP(TablaPrecios[[#This Row],[Producto]],'[1]Costo Materia Prima'!A$3:K$424,11,FALSE),"")</f>
        <v>46024</v>
      </c>
    </row>
    <row r="145" spans="1:12" x14ac:dyDescent="0.2">
      <c r="A145" t="s">
        <v>275</v>
      </c>
      <c r="B145" t="s">
        <v>275</v>
      </c>
      <c r="C145" s="81"/>
      <c r="D145" t="s">
        <v>309</v>
      </c>
      <c r="E145" t="s">
        <v>309</v>
      </c>
      <c r="F145">
        <f>_xlfn.IFNA(VLOOKUP(TablaPrecios[[#This Row],[Producto]],'[1]Costo Materia Prima'!A$3:K$424,3,FALSE),"")</f>
        <v>0</v>
      </c>
      <c r="G145" t="str">
        <f>_xlfn.IFNA(VLOOKUP(TablaPrecios[[#This Row],[Producto]],'[1]Costo Materia Prima'!A$3:K$424,4,FALSE),"")</f>
        <v>PZ</v>
      </c>
      <c r="H145" s="5">
        <f>_xlfn.IFNA(VLOOKUP(TablaPrecios[[#This Row],[Producto]],'[1]Costo Materia Prima'!A$3:K$424,5,FALSE),"")</f>
        <v>0</v>
      </c>
      <c r="I145" s="5">
        <f>IFERROR(TablaPrecios[[#This Row],[Precio]]/TablaPrecios[[#This Row],[Cantidad]],0)</f>
        <v>0</v>
      </c>
      <c r="J145" t="str">
        <f>_xlfn.IFNA(VLOOKUP(TablaPrecios[[#This Row],[Producto]],'[1]Costo Materia Prima'!A$3:K$424,8,FALSE),"")</f>
        <v>PZ</v>
      </c>
      <c r="K145" t="str">
        <f>_xlfn.IFNA(VLOOKUP(TablaPrecios[[#This Row],[Producto]],'[1]Costo Materia Prima'!A$3:K$424,9,FALSE),"-")</f>
        <v>Verificado</v>
      </c>
      <c r="L145" s="96">
        <f>_xlfn.IFNA(VLOOKUP(TablaPrecios[[#This Row],[Producto]],'[1]Costo Materia Prima'!A$3:K$424,11,FALSE),"")</f>
        <v>46024</v>
      </c>
    </row>
    <row r="146" spans="1:12" x14ac:dyDescent="0.2">
      <c r="A146" t="s">
        <v>310</v>
      </c>
      <c r="B146" t="s">
        <v>310</v>
      </c>
      <c r="C146" s="81">
        <v>8611</v>
      </c>
      <c r="D146" t="s">
        <v>311</v>
      </c>
      <c r="E146" t="s">
        <v>312</v>
      </c>
      <c r="F146">
        <f>_xlfn.IFNA(VLOOKUP(TablaPrecios[[#This Row],[Producto]],'[1]Costo Materia Prima'!A$3:K$424,3,FALSE),"")</f>
        <v>64</v>
      </c>
      <c r="G146" t="str">
        <f>_xlfn.IFNA(VLOOKUP(TablaPrecios[[#This Row],[Producto]],'[1]Costo Materia Prima'!A$3:K$424,4,FALSE),"")</f>
        <v>KG</v>
      </c>
      <c r="H146" s="5">
        <f>_xlfn.IFNA(VLOOKUP(TablaPrecios[[#This Row],[Producto]],'[1]Costo Materia Prima'!A$3:K$424,5,FALSE),"")</f>
        <v>9920</v>
      </c>
      <c r="I146" s="5">
        <f>IFERROR(TablaPrecios[[#This Row],[Precio]]/TablaPrecios[[#This Row],[Cantidad]],0)</f>
        <v>155</v>
      </c>
      <c r="J146" t="str">
        <f>_xlfn.IFNA(VLOOKUP(TablaPrecios[[#This Row],[Producto]],'[1]Costo Materia Prima'!A$3:K$424,8,FALSE),"")</f>
        <v>KG</v>
      </c>
      <c r="K146" t="str">
        <f>_xlfn.IFNA(VLOOKUP(TablaPrecios[[#This Row],[Producto]],'[1]Costo Materia Prima'!A$3:K$424,9,FALSE),"-")</f>
        <v>Verificado</v>
      </c>
      <c r="L146" s="96">
        <f>_xlfn.IFNA(VLOOKUP(TablaPrecios[[#This Row],[Producto]],'[1]Costo Materia Prima'!A$3:K$424,11,FALSE),"")</f>
        <v>46042</v>
      </c>
    </row>
    <row r="147" spans="1:12" x14ac:dyDescent="0.2">
      <c r="A147" t="s">
        <v>310</v>
      </c>
      <c r="B147" t="s">
        <v>310</v>
      </c>
      <c r="C147" s="81">
        <v>10729</v>
      </c>
      <c r="D147" t="s">
        <v>313</v>
      </c>
      <c r="E147" t="s">
        <v>314</v>
      </c>
      <c r="F147">
        <f>_xlfn.IFNA(VLOOKUP(TablaPrecios[[#This Row],[Producto]],'[1]Costo Materia Prima'!A$3:K$424,3,FALSE),"")</f>
        <v>25</v>
      </c>
      <c r="G147" t="str">
        <f>_xlfn.IFNA(VLOOKUP(TablaPrecios[[#This Row],[Producto]],'[1]Costo Materia Prima'!A$3:K$424,4,FALSE),"")</f>
        <v>KG</v>
      </c>
      <c r="H147" s="5">
        <f>_xlfn.IFNA(VLOOKUP(TablaPrecios[[#This Row],[Producto]],'[1]Costo Materia Prima'!A$3:K$424,5,FALSE),"")</f>
        <v>4374.9799999999996</v>
      </c>
      <c r="I147" s="5">
        <f>IFERROR(TablaPrecios[[#This Row],[Precio]]/TablaPrecios[[#This Row],[Cantidad]],0)</f>
        <v>174.99919999999997</v>
      </c>
      <c r="J147" t="str">
        <f>_xlfn.IFNA(VLOOKUP(TablaPrecios[[#This Row],[Producto]],'[1]Costo Materia Prima'!A$3:K$424,8,FALSE),"")</f>
        <v>KG</v>
      </c>
      <c r="K147" t="str">
        <f>_xlfn.IFNA(VLOOKUP(TablaPrecios[[#This Row],[Producto]],'[1]Costo Materia Prima'!A$3:K$424,9,FALSE),"-")</f>
        <v>Verificado</v>
      </c>
      <c r="L147" s="96">
        <f>_xlfn.IFNA(VLOOKUP(TablaPrecios[[#This Row],[Producto]],'[1]Costo Materia Prima'!A$3:K$424,11,FALSE),"")</f>
        <v>46042</v>
      </c>
    </row>
    <row r="148" spans="1:12" x14ac:dyDescent="0.2">
      <c r="A148" t="s">
        <v>310</v>
      </c>
      <c r="B148" t="s">
        <v>310</v>
      </c>
      <c r="C148" s="81">
        <v>10779</v>
      </c>
      <c r="D148" t="s">
        <v>315</v>
      </c>
      <c r="E148" t="s">
        <v>316</v>
      </c>
      <c r="F148">
        <f>_xlfn.IFNA(VLOOKUP(TablaPrecios[[#This Row],[Producto]],'[1]Costo Materia Prima'!A$3:K$424,3,FALSE),"")</f>
        <v>10</v>
      </c>
      <c r="G148" t="str">
        <f>_xlfn.IFNA(VLOOKUP(TablaPrecios[[#This Row],[Producto]],'[1]Costo Materia Prima'!A$3:K$424,4,FALSE),"")</f>
        <v>KG</v>
      </c>
      <c r="H148" s="5">
        <f>_xlfn.IFNA(VLOOKUP(TablaPrecios[[#This Row],[Producto]],'[1]Costo Materia Prima'!A$3:K$424,5,FALSE),"")</f>
        <v>641</v>
      </c>
      <c r="I148" s="5">
        <f>IFERROR(TablaPrecios[[#This Row],[Precio]]/TablaPrecios[[#This Row],[Cantidad]],0)</f>
        <v>64.099999999999994</v>
      </c>
      <c r="J148" t="str">
        <f>_xlfn.IFNA(VLOOKUP(TablaPrecios[[#This Row],[Producto]],'[1]Costo Materia Prima'!A$3:K$424,8,FALSE),"")</f>
        <v>KG</v>
      </c>
      <c r="K148" t="str">
        <f>_xlfn.IFNA(VLOOKUP(TablaPrecios[[#This Row],[Producto]],'[1]Costo Materia Prima'!A$3:K$424,9,FALSE),"-")</f>
        <v>Verificado</v>
      </c>
      <c r="L148" s="96">
        <f>_xlfn.IFNA(VLOOKUP(TablaPrecios[[#This Row],[Producto]],'[1]Costo Materia Prima'!A$3:K$424,11,FALSE),"")</f>
        <v>46042</v>
      </c>
    </row>
    <row r="149" spans="1:12" x14ac:dyDescent="0.2">
      <c r="A149" t="s">
        <v>310</v>
      </c>
      <c r="B149" t="s">
        <v>310</v>
      </c>
      <c r="C149" s="81"/>
      <c r="D149" t="s">
        <v>317</v>
      </c>
      <c r="E149" t="s">
        <v>318</v>
      </c>
      <c r="F149">
        <f>_xlfn.IFNA(VLOOKUP(TablaPrecios[[#This Row],[Producto]],'[1]Costo Materia Prima'!A$3:K$424,3,FALSE),"")</f>
        <v>25</v>
      </c>
      <c r="G149" t="str">
        <f>_xlfn.IFNA(VLOOKUP(TablaPrecios[[#This Row],[Producto]],'[1]Costo Materia Prima'!A$3:K$424,4,FALSE),"")</f>
        <v>KG</v>
      </c>
      <c r="H149" s="5">
        <f>_xlfn.IFNA(VLOOKUP(TablaPrecios[[#This Row],[Producto]],'[1]Costo Materia Prima'!A$3:K$424,5,FALSE),"")</f>
        <v>6075</v>
      </c>
      <c r="I149" s="5">
        <f>IFERROR(TablaPrecios[[#This Row],[Precio]]/TablaPrecios[[#This Row],[Cantidad]],0)</f>
        <v>243</v>
      </c>
      <c r="J149" t="str">
        <f>_xlfn.IFNA(VLOOKUP(TablaPrecios[[#This Row],[Producto]],'[1]Costo Materia Prima'!A$3:K$424,8,FALSE),"")</f>
        <v>KG</v>
      </c>
      <c r="K149" t="str">
        <f>_xlfn.IFNA(VLOOKUP(TablaPrecios[[#This Row],[Producto]],'[1]Costo Materia Prima'!A$3:K$424,9,FALSE),"-")</f>
        <v>Verificado</v>
      </c>
      <c r="L149" s="96">
        <f>_xlfn.IFNA(VLOOKUP(TablaPrecios[[#This Row],[Producto]],'[1]Costo Materia Prima'!A$3:K$424,11,FALSE),"")</f>
        <v>46042</v>
      </c>
    </row>
    <row r="150" spans="1:12" x14ac:dyDescent="0.2">
      <c r="A150" t="s">
        <v>310</v>
      </c>
      <c r="B150" t="s">
        <v>310</v>
      </c>
      <c r="C150" s="81"/>
      <c r="D150" t="s">
        <v>319</v>
      </c>
      <c r="E150" t="s">
        <v>320</v>
      </c>
      <c r="F150">
        <f>_xlfn.IFNA(VLOOKUP(TablaPrecios[[#This Row],[Producto]],'[1]Costo Materia Prima'!A$3:K$424,3,FALSE),"")</f>
        <v>9</v>
      </c>
      <c r="G150" t="str">
        <f>_xlfn.IFNA(VLOOKUP(TablaPrecios[[#This Row],[Producto]],'[1]Costo Materia Prima'!A$3:K$424,4,FALSE),"")</f>
        <v>KG</v>
      </c>
      <c r="H150" s="5">
        <f>_xlfn.IFNA(VLOOKUP(TablaPrecios[[#This Row],[Producto]],'[1]Costo Materia Prima'!A$3:K$424,5,FALSE),"")</f>
        <v>1059.48</v>
      </c>
      <c r="I150" s="5">
        <f>IFERROR(TablaPrecios[[#This Row],[Precio]]/TablaPrecios[[#This Row],[Cantidad]],0)</f>
        <v>117.72</v>
      </c>
      <c r="J150" t="str">
        <f>_xlfn.IFNA(VLOOKUP(TablaPrecios[[#This Row],[Producto]],'[1]Costo Materia Prima'!A$3:K$424,8,FALSE),"")</f>
        <v>KG</v>
      </c>
      <c r="K150" t="str">
        <f>_xlfn.IFNA(VLOOKUP(TablaPrecios[[#This Row],[Producto]],'[1]Costo Materia Prima'!A$3:K$424,9,FALSE),"-")</f>
        <v>Verificado</v>
      </c>
      <c r="L150" s="96">
        <f>_xlfn.IFNA(VLOOKUP(TablaPrecios[[#This Row],[Producto]],'[1]Costo Materia Prima'!A$3:K$424,11,FALSE),"")</f>
        <v>46042</v>
      </c>
    </row>
    <row r="151" spans="1:12" x14ac:dyDescent="0.2">
      <c r="A151" t="s">
        <v>310</v>
      </c>
      <c r="B151" t="s">
        <v>310</v>
      </c>
      <c r="C151" s="81"/>
      <c r="D151" t="s">
        <v>321</v>
      </c>
      <c r="E151" t="s">
        <v>322</v>
      </c>
      <c r="F151">
        <f>_xlfn.IFNA(VLOOKUP(TablaPrecios[[#This Row],[Producto]],'[1]Costo Materia Prima'!A$3:K$424,3,FALSE),"")</f>
        <v>10.5</v>
      </c>
      <c r="G151" t="str">
        <f>_xlfn.IFNA(VLOOKUP(TablaPrecios[[#This Row],[Producto]],'[1]Costo Materia Prima'!A$3:K$424,4,FALSE),"")</f>
        <v>KG</v>
      </c>
      <c r="H151" s="5">
        <f>_xlfn.IFNA(VLOOKUP(TablaPrecios[[#This Row],[Producto]],'[1]Costo Materia Prima'!A$3:K$424,5,FALSE),"")</f>
        <v>1292.76</v>
      </c>
      <c r="I151" s="5">
        <f>IFERROR(TablaPrecios[[#This Row],[Precio]]/TablaPrecios[[#This Row],[Cantidad]],0)</f>
        <v>123.12</v>
      </c>
      <c r="J151" t="str">
        <f>_xlfn.IFNA(VLOOKUP(TablaPrecios[[#This Row],[Producto]],'[1]Costo Materia Prima'!A$3:K$424,8,FALSE),"")</f>
        <v>KG</v>
      </c>
      <c r="K151" t="str">
        <f>_xlfn.IFNA(VLOOKUP(TablaPrecios[[#This Row],[Producto]],'[1]Costo Materia Prima'!A$3:K$424,9,FALSE),"-")</f>
        <v>Verificado</v>
      </c>
      <c r="L151" s="96">
        <f>_xlfn.IFNA(VLOOKUP(TablaPrecios[[#This Row],[Producto]],'[1]Costo Materia Prima'!A$3:K$424,11,FALSE),"")</f>
        <v>46042</v>
      </c>
    </row>
    <row r="152" spans="1:12" x14ac:dyDescent="0.2">
      <c r="A152" t="s">
        <v>310</v>
      </c>
      <c r="B152" t="s">
        <v>310</v>
      </c>
      <c r="C152" s="81"/>
      <c r="D152" t="s">
        <v>323</v>
      </c>
      <c r="E152" t="s">
        <v>324</v>
      </c>
      <c r="F152">
        <f>_xlfn.IFNA(VLOOKUP(TablaPrecios[[#This Row],[Producto]],'[1]Costo Materia Prima'!A$3:K$424,3,FALSE),"")</f>
        <v>7.5</v>
      </c>
      <c r="G152" t="str">
        <f>_xlfn.IFNA(VLOOKUP(TablaPrecios[[#This Row],[Producto]],'[1]Costo Materia Prima'!A$3:K$424,4,FALSE),"")</f>
        <v>KG</v>
      </c>
      <c r="H152" s="5">
        <f>_xlfn.IFNA(VLOOKUP(TablaPrecios[[#This Row],[Producto]],'[1]Costo Materia Prima'!A$3:K$424,5,FALSE),"")</f>
        <v>1894.31</v>
      </c>
      <c r="I152" s="5">
        <f>IFERROR(TablaPrecios[[#This Row],[Precio]]/TablaPrecios[[#This Row],[Cantidad]],0)</f>
        <v>252.57466666666667</v>
      </c>
      <c r="J152" t="str">
        <f>_xlfn.IFNA(VLOOKUP(TablaPrecios[[#This Row],[Producto]],'[1]Costo Materia Prima'!A$3:K$424,8,FALSE),"")</f>
        <v>KG</v>
      </c>
      <c r="K152" t="str">
        <f>_xlfn.IFNA(VLOOKUP(TablaPrecios[[#This Row],[Producto]],'[1]Costo Materia Prima'!A$3:K$424,9,FALSE),"-")</f>
        <v>Verificado</v>
      </c>
      <c r="L152" s="96">
        <f>_xlfn.IFNA(VLOOKUP(TablaPrecios[[#This Row],[Producto]],'[1]Costo Materia Prima'!A$3:K$424,11,FALSE),"")</f>
        <v>46042</v>
      </c>
    </row>
    <row r="153" spans="1:12" x14ac:dyDescent="0.2">
      <c r="C153" s="81"/>
      <c r="D153" t="s">
        <v>325</v>
      </c>
      <c r="E153" t="s">
        <v>325</v>
      </c>
      <c r="F153">
        <f>_xlfn.IFNA(VLOOKUP(TablaPrecios[[#This Row],[Producto]],'[1]Costo Materia Prima'!A$3:K$424,3,FALSE),"")</f>
        <v>24</v>
      </c>
      <c r="G153" t="str">
        <f>_xlfn.IFNA(VLOOKUP(TablaPrecios[[#This Row],[Producto]],'[1]Costo Materia Prima'!A$3:K$424,4,FALSE),"")</f>
        <v>KG</v>
      </c>
      <c r="H153" s="5">
        <f>_xlfn.IFNA(VLOOKUP(TablaPrecios[[#This Row],[Producto]],'[1]Costo Materia Prima'!A$3:K$424,5,FALSE),"")</f>
        <v>1578</v>
      </c>
      <c r="I153" s="5">
        <f>IFERROR(TablaPrecios[[#This Row],[Precio]]/TablaPrecios[[#This Row],[Cantidad]],0)</f>
        <v>65.75</v>
      </c>
      <c r="J153" t="str">
        <f>_xlfn.IFNA(VLOOKUP(TablaPrecios[[#This Row],[Producto]],'[1]Costo Materia Prima'!A$3:K$424,8,FALSE),"")</f>
        <v>KG</v>
      </c>
      <c r="K153" t="str">
        <f>_xlfn.IFNA(VLOOKUP(TablaPrecios[[#This Row],[Producto]],'[1]Costo Materia Prima'!A$3:K$424,9,FALSE),"-")</f>
        <v>Verificado</v>
      </c>
      <c r="L153" s="96">
        <f>_xlfn.IFNA(VLOOKUP(TablaPrecios[[#This Row],[Producto]],'[1]Costo Materia Prima'!A$3:K$424,11,FALSE),"")</f>
        <v>46042</v>
      </c>
    </row>
    <row r="154" spans="1:12" x14ac:dyDescent="0.2">
      <c r="A154" t="s">
        <v>326</v>
      </c>
      <c r="C154" s="81"/>
      <c r="D154" t="s">
        <v>327</v>
      </c>
      <c r="E154" t="s">
        <v>328</v>
      </c>
      <c r="F154">
        <f>_xlfn.IFNA(VLOOKUP(TablaPrecios[[#This Row],[Producto]],'[1]Costo Materia Prima'!A$3:K$424,3,FALSE),"")</f>
        <v>0</v>
      </c>
      <c r="G154" t="str">
        <f>_xlfn.IFNA(VLOOKUP(TablaPrecios[[#This Row],[Producto]],'[1]Costo Materia Prima'!A$3:K$424,4,FALSE),"")</f>
        <v>KG</v>
      </c>
      <c r="H154" s="5">
        <f>_xlfn.IFNA(VLOOKUP(TablaPrecios[[#This Row],[Producto]],'[1]Costo Materia Prima'!A$3:K$424,5,FALSE),"")</f>
        <v>0</v>
      </c>
      <c r="I154" s="5">
        <f>IFERROR(TablaPrecios[[#This Row],[Precio]]/TablaPrecios[[#This Row],[Cantidad]],0)</f>
        <v>0</v>
      </c>
      <c r="J154" t="str">
        <f>_xlfn.IFNA(VLOOKUP(TablaPrecios[[#This Row],[Producto]],'[1]Costo Materia Prima'!A$3:K$424,8,FALSE),"")</f>
        <v>KG</v>
      </c>
      <c r="K154" t="str">
        <f>_xlfn.IFNA(VLOOKUP(TablaPrecios[[#This Row],[Producto]],'[1]Costo Materia Prima'!A$3:K$424,9,FALSE),"-")</f>
        <v>Verificado</v>
      </c>
      <c r="L154" s="96">
        <f>_xlfn.IFNA(VLOOKUP(TablaPrecios[[#This Row],[Producto]],'[1]Costo Materia Prima'!A$3:K$424,11,FALSE),"")</f>
        <v>46024</v>
      </c>
    </row>
    <row r="155" spans="1:12" x14ac:dyDescent="0.2">
      <c r="C155" s="81"/>
      <c r="D155" t="s">
        <v>329</v>
      </c>
      <c r="E155" t="s">
        <v>330</v>
      </c>
      <c r="F155">
        <f>_xlfn.IFNA(VLOOKUP(TablaPrecios[[#This Row],[Producto]],'[1]Costo Materia Prima'!A$3:K$424,3,FALSE),"")</f>
        <v>0</v>
      </c>
      <c r="G155">
        <f>_xlfn.IFNA(VLOOKUP(TablaPrecios[[#This Row],[Producto]],'[1]Costo Materia Prima'!A$3:K$424,4,FALSE),"")</f>
        <v>0</v>
      </c>
      <c r="H155" s="5">
        <f>_xlfn.IFNA(VLOOKUP(TablaPrecios[[#This Row],[Producto]],'[1]Costo Materia Prima'!A$3:K$424,5,FALSE),"")</f>
        <v>0</v>
      </c>
      <c r="I155" s="5">
        <f>IFERROR(TablaPrecios[[#This Row],[Precio]]/TablaPrecios[[#This Row],[Cantidad]],0)</f>
        <v>0</v>
      </c>
      <c r="J155" t="str">
        <f>_xlfn.IFNA(VLOOKUP(TablaPrecios[[#This Row],[Producto]],'[1]Costo Materia Prima'!A$3:K$424,8,FALSE),"")</f>
        <v/>
      </c>
      <c r="K155" t="str">
        <f>_xlfn.IFNA(VLOOKUP(TablaPrecios[[#This Row],[Producto]],'[1]Costo Materia Prima'!A$3:K$424,9,FALSE),"-")</f>
        <v>Verificado</v>
      </c>
      <c r="L155" s="96">
        <f>_xlfn.IFNA(VLOOKUP(TablaPrecios[[#This Row],[Producto]],'[1]Costo Materia Prima'!A$3:K$424,11,FALSE),"")</f>
        <v>46024</v>
      </c>
    </row>
    <row r="156" spans="1:12" x14ac:dyDescent="0.2">
      <c r="C156" s="81"/>
      <c r="D156" t="s">
        <v>331</v>
      </c>
      <c r="E156" t="s">
        <v>331</v>
      </c>
      <c r="F156">
        <f>_xlfn.IFNA(VLOOKUP(TablaPrecios[[#This Row],[Producto]],'[1]Costo Materia Prima'!A$3:K$424,3,FALSE),"")</f>
        <v>12</v>
      </c>
      <c r="G156" t="str">
        <f>_xlfn.IFNA(VLOOKUP(TablaPrecios[[#This Row],[Producto]],'[1]Costo Materia Prima'!A$3:K$424,4,FALSE),"")</f>
        <v>PZ</v>
      </c>
      <c r="H156" s="5">
        <f>_xlfn.IFNA(VLOOKUP(TablaPrecios[[#This Row],[Producto]],'[1]Costo Materia Prima'!A$3:K$424,5,FALSE),"")</f>
        <v>746.1</v>
      </c>
      <c r="I156" s="5">
        <f>IFERROR(TablaPrecios[[#This Row],[Precio]]/TablaPrecios[[#This Row],[Cantidad]],0)</f>
        <v>62.175000000000004</v>
      </c>
      <c r="J156" t="str">
        <f>_xlfn.IFNA(VLOOKUP(TablaPrecios[[#This Row],[Producto]],'[1]Costo Materia Prima'!A$3:K$424,8,FALSE),"")</f>
        <v>PZ</v>
      </c>
      <c r="K156" t="str">
        <f>_xlfn.IFNA(VLOOKUP(TablaPrecios[[#This Row],[Producto]],'[1]Costo Materia Prima'!A$3:K$424,9,FALSE),"-")</f>
        <v>Verificado</v>
      </c>
      <c r="L156" s="96">
        <f>_xlfn.IFNA(VLOOKUP(TablaPrecios[[#This Row],[Producto]],'[1]Costo Materia Prima'!A$3:K$424,11,FALSE),"")</f>
        <v>46024</v>
      </c>
    </row>
    <row r="157" spans="1:12" x14ac:dyDescent="0.2">
      <c r="C157" s="81"/>
      <c r="D157" t="s">
        <v>332</v>
      </c>
      <c r="E157" t="s">
        <v>333</v>
      </c>
      <c r="F157">
        <f>_xlfn.IFNA(VLOOKUP(TablaPrecios[[#This Row],[Producto]],'[1]Costo Materia Prima'!A$3:K$424,3,FALSE),"")</f>
        <v>600</v>
      </c>
      <c r="G157" t="str">
        <f>_xlfn.IFNA(VLOOKUP(TablaPrecios[[#This Row],[Producto]],'[1]Costo Materia Prima'!A$3:K$424,4,FALSE),"")</f>
        <v>PZ</v>
      </c>
      <c r="H157" s="5">
        <f>_xlfn.IFNA(VLOOKUP(TablaPrecios[[#This Row],[Producto]],'[1]Costo Materia Prima'!A$3:K$424,5,FALSE),"")</f>
        <v>44</v>
      </c>
      <c r="I157" s="5">
        <f>IFERROR(TablaPrecios[[#This Row],[Precio]]/TablaPrecios[[#This Row],[Cantidad]],0)</f>
        <v>7.3333333333333334E-2</v>
      </c>
      <c r="J157" t="str">
        <f>_xlfn.IFNA(VLOOKUP(TablaPrecios[[#This Row],[Producto]],'[1]Costo Materia Prima'!A$3:K$424,8,FALSE),"")</f>
        <v>PZ</v>
      </c>
      <c r="K157" t="str">
        <f>_xlfn.IFNA(VLOOKUP(TablaPrecios[[#This Row],[Producto]],'[1]Costo Materia Prima'!A$3:K$424,9,FALSE),"-")</f>
        <v>Verificado</v>
      </c>
      <c r="L157" s="96">
        <f>_xlfn.IFNA(VLOOKUP(TablaPrecios[[#This Row],[Producto]],'[1]Costo Materia Prima'!A$3:K$424,11,FALSE),"")</f>
        <v>46024</v>
      </c>
    </row>
    <row r="158" spans="1:12" x14ac:dyDescent="0.2">
      <c r="C158" s="81"/>
      <c r="D158" t="s">
        <v>334</v>
      </c>
      <c r="E158" t="s">
        <v>334</v>
      </c>
      <c r="F158">
        <f>_xlfn.IFNA(VLOOKUP(TablaPrecios[[#This Row],[Producto]],'[1]Costo Materia Prima'!A$3:K$424,3,FALSE),"")</f>
        <v>0</v>
      </c>
      <c r="G158" t="str">
        <f>_xlfn.IFNA(VLOOKUP(TablaPrecios[[#This Row],[Producto]],'[1]Costo Materia Prima'!A$3:K$424,4,FALSE),"")</f>
        <v>PZ</v>
      </c>
      <c r="H158" s="5">
        <f>_xlfn.IFNA(VLOOKUP(TablaPrecios[[#This Row],[Producto]],'[1]Costo Materia Prima'!A$3:K$424,5,FALSE),"")</f>
        <v>0</v>
      </c>
      <c r="I158" s="5">
        <f>IFERROR(TablaPrecios[[#This Row],[Precio]]/TablaPrecios[[#This Row],[Cantidad]],0)</f>
        <v>0</v>
      </c>
      <c r="J158" t="str">
        <f>_xlfn.IFNA(VLOOKUP(TablaPrecios[[#This Row],[Producto]],'[1]Costo Materia Prima'!A$3:K$424,8,FALSE),"")</f>
        <v>PZ</v>
      </c>
      <c r="K158" t="str">
        <f>_xlfn.IFNA(VLOOKUP(TablaPrecios[[#This Row],[Producto]],'[1]Costo Materia Prima'!A$3:K$424,9,FALSE),"-")</f>
        <v>Verificado</v>
      </c>
      <c r="L158" s="96">
        <f>_xlfn.IFNA(VLOOKUP(TablaPrecios[[#This Row],[Producto]],'[1]Costo Materia Prima'!A$3:K$424,11,FALSE),"")</f>
        <v>46024</v>
      </c>
    </row>
    <row r="159" spans="1:12" x14ac:dyDescent="0.2">
      <c r="C159" s="81"/>
      <c r="D159" t="s">
        <v>687</v>
      </c>
      <c r="E159" t="s">
        <v>334</v>
      </c>
      <c r="F159">
        <f>_xlfn.IFNA(VLOOKUP(TablaPrecios[[#This Row],[Producto]],'[1]Costo Materia Prima'!A$3:K$424,3,FALSE),"")</f>
        <v>300</v>
      </c>
      <c r="G159" t="str">
        <f>_xlfn.IFNA(VLOOKUP(TablaPrecios[[#This Row],[Producto]],'[1]Costo Materia Prima'!A$3:K$424,4,FALSE),"")</f>
        <v>PZ</v>
      </c>
      <c r="H159" s="5">
        <f>_xlfn.IFNA(VLOOKUP(TablaPrecios[[#This Row],[Producto]],'[1]Costo Materia Prima'!A$3:K$424,5,FALSE),"")</f>
        <v>1800</v>
      </c>
      <c r="I159" s="5">
        <f>IFERROR(TablaPrecios[[#This Row],[Precio]]/TablaPrecios[[#This Row],[Cantidad]],0)</f>
        <v>6</v>
      </c>
      <c r="J159" t="str">
        <f>_xlfn.IFNA(VLOOKUP(TablaPrecios[[#This Row],[Producto]],'[1]Costo Materia Prima'!A$3:K$424,8,FALSE),"")</f>
        <v>PZ</v>
      </c>
      <c r="K159" t="str">
        <f>_xlfn.IFNA(VLOOKUP(TablaPrecios[[#This Row],[Producto]],'[1]Costo Materia Prima'!A$3:K$424,9,FALSE),"-")</f>
        <v>Verificado</v>
      </c>
      <c r="L159" s="96">
        <f>_xlfn.IFNA(VLOOKUP(TablaPrecios[[#This Row],[Producto]],'[1]Costo Materia Prima'!A$3:K$424,11,FALSE),"")</f>
        <v>46042</v>
      </c>
    </row>
    <row r="160" spans="1:12" x14ac:dyDescent="0.2">
      <c r="C160" s="81"/>
      <c r="F160" t="str">
        <f>_xlfn.IFNA(VLOOKUP(TablaPrecios[[#This Row],[Producto]],'[1]Costo Materia Prima'!A$3:K$424,3,FALSE),"")</f>
        <v/>
      </c>
      <c r="G160" t="str">
        <f>_xlfn.IFNA(VLOOKUP(TablaPrecios[[#This Row],[Producto]],'[1]Costo Materia Prima'!A$3:K$424,4,FALSE),"")</f>
        <v/>
      </c>
      <c r="H160" s="5" t="str">
        <f>_xlfn.IFNA(VLOOKUP(TablaPrecios[[#This Row],[Producto]],'[1]Costo Materia Prima'!A$3:K$424,5,FALSE),"")</f>
        <v/>
      </c>
      <c r="I160" s="5">
        <f>IFERROR(TablaPrecios[[#This Row],[Precio]]/TablaPrecios[[#This Row],[Cantidad]],0)</f>
        <v>0</v>
      </c>
      <c r="J160" t="str">
        <f>_xlfn.IFNA(VLOOKUP(TablaPrecios[[#This Row],[Producto]],'[1]Costo Materia Prima'!A$3:K$424,8,FALSE),"")</f>
        <v/>
      </c>
      <c r="K160" t="str">
        <f>_xlfn.IFNA(VLOOKUP(TablaPrecios[[#This Row],[Producto]],'[1]Costo Materia Prima'!A$3:K$424,9,FALSE),"-")</f>
        <v>-</v>
      </c>
      <c r="L160" s="96" t="str">
        <f>_xlfn.IFNA(VLOOKUP(TablaPrecios[[#This Row],[Producto]],'[1]Costo Materia Prima'!A$3:K$424,11,FALSE),"")</f>
        <v/>
      </c>
    </row>
    <row r="161" spans="1:12" x14ac:dyDescent="0.2">
      <c r="A161" t="s">
        <v>335</v>
      </c>
      <c r="B161" t="s">
        <v>335</v>
      </c>
      <c r="C161" s="81"/>
      <c r="D161" t="s">
        <v>336</v>
      </c>
      <c r="E161" t="s">
        <v>337</v>
      </c>
      <c r="F161">
        <f>_xlfn.IFNA(VLOOKUP(TablaPrecios[[#This Row],[Producto]],'[1]Costo Materia Prima'!A$3:K$424,3,FALSE),"")</f>
        <v>1000</v>
      </c>
      <c r="G161" t="str">
        <f>_xlfn.IFNA(VLOOKUP(TablaPrecios[[#This Row],[Producto]],'[1]Costo Materia Prima'!A$3:K$424,4,FALSE),"")</f>
        <v>PZ</v>
      </c>
      <c r="H161" s="5">
        <f>_xlfn.IFNA(VLOOKUP(TablaPrecios[[#This Row],[Producto]],'[1]Costo Materia Prima'!A$3:K$424,5,FALSE),"")</f>
        <v>1543.28</v>
      </c>
      <c r="I161" s="5">
        <f>IFERROR(TablaPrecios[[#This Row],[Precio]]/TablaPrecios[[#This Row],[Cantidad]],0)</f>
        <v>1.54328</v>
      </c>
      <c r="J161" t="str">
        <f>_xlfn.IFNA(VLOOKUP(TablaPrecios[[#This Row],[Producto]],'[1]Costo Materia Prima'!A$3:K$424,8,FALSE),"")</f>
        <v>PZ</v>
      </c>
      <c r="K161" t="str">
        <f>_xlfn.IFNA(VLOOKUP(TablaPrecios[[#This Row],[Producto]],'[1]Costo Materia Prima'!A$3:K$424,9,FALSE),"-")</f>
        <v>Verificado</v>
      </c>
      <c r="L161" s="96">
        <f>_xlfn.IFNA(VLOOKUP(TablaPrecios[[#This Row],[Producto]],'[1]Costo Materia Prima'!A$3:K$424,11,FALSE),"")</f>
        <v>46024</v>
      </c>
    </row>
    <row r="162" spans="1:12" x14ac:dyDescent="0.2">
      <c r="A162" t="s">
        <v>335</v>
      </c>
      <c r="B162" t="s">
        <v>335</v>
      </c>
      <c r="C162" s="81"/>
      <c r="D162" t="s">
        <v>338</v>
      </c>
      <c r="E162" t="s">
        <v>339</v>
      </c>
      <c r="F162">
        <f>_xlfn.IFNA(VLOOKUP(TablaPrecios[[#This Row],[Producto]],'[1]Costo Materia Prima'!A$3:K$424,3,FALSE),"")</f>
        <v>5000</v>
      </c>
      <c r="G162" t="str">
        <f>_xlfn.IFNA(VLOOKUP(TablaPrecios[[#This Row],[Producto]],'[1]Costo Materia Prima'!A$3:K$424,4,FALSE),"")</f>
        <v>PZ</v>
      </c>
      <c r="H162" s="5">
        <f>_xlfn.IFNA(VLOOKUP(TablaPrecios[[#This Row],[Producto]],'[1]Costo Materia Prima'!A$3:K$424,5,FALSE),"")</f>
        <v>11191.31</v>
      </c>
      <c r="I162" s="5">
        <f>IFERROR(TablaPrecios[[#This Row],[Precio]]/TablaPrecios[[#This Row],[Cantidad]],0)</f>
        <v>2.2382619999999998</v>
      </c>
      <c r="J162" t="str">
        <f>_xlfn.IFNA(VLOOKUP(TablaPrecios[[#This Row],[Producto]],'[1]Costo Materia Prima'!A$3:K$424,8,FALSE),"")</f>
        <v>PZ</v>
      </c>
      <c r="K162" t="str">
        <f>_xlfn.IFNA(VLOOKUP(TablaPrecios[[#This Row],[Producto]],'[1]Costo Materia Prima'!A$3:K$424,9,FALSE),"-")</f>
        <v>Verificado</v>
      </c>
      <c r="L162" s="96">
        <f>_xlfn.IFNA(VLOOKUP(TablaPrecios[[#This Row],[Producto]],'[1]Costo Materia Prima'!A$3:K$424,11,FALSE),"")</f>
        <v>46042</v>
      </c>
    </row>
    <row r="163" spans="1:12" x14ac:dyDescent="0.2">
      <c r="B163" t="s">
        <v>698</v>
      </c>
      <c r="D163" t="s">
        <v>698</v>
      </c>
      <c r="F163">
        <f>_xlfn.IFNA(VLOOKUP(TablaPrecios[[#This Row],[Producto]],'[1]Costo Materia Prima'!A$3:K$424,3,FALSE),"")</f>
        <v>0.125</v>
      </c>
      <c r="G163" t="str">
        <f>_xlfn.IFNA(VLOOKUP(TablaPrecios[[#This Row],[Producto]],'[1]Costo Materia Prima'!A$3:K$424,4,FALSE),"")</f>
        <v>KG</v>
      </c>
      <c r="H163" s="5">
        <f>_xlfn.IFNA(VLOOKUP(TablaPrecios[[#This Row],[Producto]],'[1]Costo Materia Prima'!A$3:K$424,5,FALSE),"")</f>
        <v>38</v>
      </c>
      <c r="I163" s="5">
        <f>IFERROR(TablaPrecios[[#This Row],[Precio]]/TablaPrecios[[#This Row],[Cantidad]],0)</f>
        <v>304</v>
      </c>
      <c r="J163">
        <f>_xlfn.IFNA(VLOOKUP(TablaPrecios[[#This Row],[Producto]],'[1]Costo Materia Prima'!A$3:K$424,8,FALSE),"")</f>
        <v>0</v>
      </c>
      <c r="K163" t="str">
        <f>_xlfn.IFNA(VLOOKUP(TablaPrecios[[#This Row],[Producto]],'[1]Costo Materia Prima'!A$3:K$424,9,FALSE),"-")</f>
        <v>Verificado</v>
      </c>
      <c r="L163" s="96">
        <f>_xlfn.IFNA(VLOOKUP(TablaPrecios[[#This Row],[Producto]],'[1]Costo Materia Prima'!A$3:K$424,11,FALSE),"")</f>
        <v>46024</v>
      </c>
    </row>
    <row r="164" spans="1:12" x14ac:dyDescent="0.2">
      <c r="B164" t="s">
        <v>699</v>
      </c>
      <c r="D164" t="s">
        <v>699</v>
      </c>
      <c r="F164">
        <f>_xlfn.IFNA(VLOOKUP(TablaPrecios[[#This Row],[Producto]],'[1]Costo Materia Prima'!A$3:K$424,3,FALSE),"")</f>
        <v>0.06</v>
      </c>
      <c r="G164" t="str">
        <f>_xlfn.IFNA(VLOOKUP(TablaPrecios[[#This Row],[Producto]],'[1]Costo Materia Prima'!A$3:K$424,4,FALSE),"")</f>
        <v>LT</v>
      </c>
      <c r="H164" s="5">
        <f>_xlfn.IFNA(VLOOKUP(TablaPrecios[[#This Row],[Producto]],'[1]Costo Materia Prima'!A$3:K$424,5,FALSE),"")</f>
        <v>56</v>
      </c>
      <c r="I164" s="5">
        <f>IFERROR(TablaPrecios[[#This Row],[Precio]]/TablaPrecios[[#This Row],[Cantidad]],0)</f>
        <v>933.33333333333337</v>
      </c>
      <c r="J164" t="str">
        <f>_xlfn.IFNA(VLOOKUP(TablaPrecios[[#This Row],[Producto]],'[1]Costo Materia Prima'!A$3:K$424,8,FALSE),"")</f>
        <v>LT</v>
      </c>
      <c r="K164" t="str">
        <f>_xlfn.IFNA(VLOOKUP(TablaPrecios[[#This Row],[Producto]],'[1]Costo Materia Prima'!A$3:K$424,9,FALSE),"-")</f>
        <v>Verificado</v>
      </c>
      <c r="L164" s="96">
        <f>_xlfn.IFNA(VLOOKUP(TablaPrecios[[#This Row],[Producto]],'[1]Costo Materia Prima'!A$3:K$424,11,FALSE),"")</f>
        <v>46024</v>
      </c>
    </row>
    <row r="165" spans="1:12" x14ac:dyDescent="0.2">
      <c r="A165" t="s">
        <v>701</v>
      </c>
      <c r="B165" t="s">
        <v>512</v>
      </c>
      <c r="D165" t="s">
        <v>512</v>
      </c>
      <c r="F165">
        <f>_xlfn.IFNA(VLOOKUP(TablaPrecios[[#This Row],[Producto]],'[1]Costo Materia Prima'!A$3:K$424,3,FALSE),"")</f>
        <v>1</v>
      </c>
      <c r="G165" t="str">
        <f>_xlfn.IFNA(VLOOKUP(TablaPrecios[[#This Row],[Producto]],'[1]Costo Materia Prima'!A$3:K$424,4,FALSE),"")</f>
        <v>KG</v>
      </c>
      <c r="H165" s="5">
        <f>_xlfn.IFNA(VLOOKUP(TablaPrecios[[#This Row],[Producto]],'[1]Costo Materia Prima'!A$3:K$424,5,FALSE),"")</f>
        <v>43</v>
      </c>
      <c r="I165" s="5">
        <f>IFERROR(TablaPrecios[[#This Row],[Precio]]/TablaPrecios[[#This Row],[Cantidad]],0)</f>
        <v>43</v>
      </c>
      <c r="J165">
        <f>_xlfn.IFNA(VLOOKUP(TablaPrecios[[#This Row],[Producto]],'[1]Costo Materia Prima'!A$3:K$424,8,FALSE),"")</f>
        <v>0</v>
      </c>
      <c r="K165" t="str">
        <f>_xlfn.IFNA(VLOOKUP(TablaPrecios[[#This Row],[Producto]],'[1]Costo Materia Prima'!A$3:K$424,9,FALSE),"-")</f>
        <v>Verificado</v>
      </c>
      <c r="L165" s="96">
        <f>_xlfn.IFNA(VLOOKUP(TablaPrecios[[#This Row],[Producto]],'[1]Costo Materia Prima'!A$3:K$424,11,FALSE),"")</f>
        <v>46024</v>
      </c>
    </row>
    <row r="166" spans="1:12" x14ac:dyDescent="0.2">
      <c r="C166" s="81"/>
      <c r="D166" t="s">
        <v>781</v>
      </c>
      <c r="F166">
        <f>_xlfn.IFNA(VLOOKUP(TablaPrecios[[#This Row],[Producto]],'[1]Costo Materia Prima'!A$3:K$424,3,FALSE),"")</f>
        <v>5000</v>
      </c>
      <c r="G166" t="str">
        <f>_xlfn.IFNA(VLOOKUP(TablaPrecios[[#This Row],[Producto]],'[1]Costo Materia Prima'!A$3:K$424,4,FALSE),"")</f>
        <v>PZ</v>
      </c>
      <c r="H166" s="5">
        <f>_xlfn.IFNA(VLOOKUP(TablaPrecios[[#This Row],[Producto]],'[1]Costo Materia Prima'!A$3:K$424,5,FALSE),"")</f>
        <v>3250</v>
      </c>
      <c r="I166" s="5">
        <f>IFERROR(TablaPrecios[[#This Row],[Precio]]/TablaPrecios[[#This Row],[Cantidad]],0)</f>
        <v>0.65</v>
      </c>
      <c r="J166" t="str">
        <f>_xlfn.IFNA(VLOOKUP(TablaPrecios[[#This Row],[Producto]],'[1]Costo Materia Prima'!A$3:K$424,8,FALSE),"")</f>
        <v>PZ</v>
      </c>
      <c r="K166" t="str">
        <f>_xlfn.IFNA(VLOOKUP(TablaPrecios[[#This Row],[Producto]],'[1]Costo Materia Prima'!A$3:K$424,9,FALSE),"-")</f>
        <v>Verificado</v>
      </c>
      <c r="L166" s="96">
        <f>_xlfn.IFNA(VLOOKUP(TablaPrecios[[#This Row],[Producto]],'[1]Costo Materia Prima'!A$3:K$424,11,FALSE),"")</f>
        <v>46042</v>
      </c>
    </row>
    <row r="167" spans="1:12" x14ac:dyDescent="0.2">
      <c r="C167" s="81"/>
      <c r="D167" t="s">
        <v>702</v>
      </c>
      <c r="F167">
        <f>_xlfn.IFNA(VLOOKUP(TablaPrecios[[#This Row],[Producto]],'[1]Costo Materia Prima'!A$3:K$424,3,FALSE),"")</f>
        <v>2000</v>
      </c>
      <c r="G167" t="str">
        <f>_xlfn.IFNA(VLOOKUP(TablaPrecios[[#This Row],[Producto]],'[1]Costo Materia Prima'!A$3:K$424,4,FALSE),"")</f>
        <v>PZ</v>
      </c>
      <c r="H167" s="5">
        <f>_xlfn.IFNA(VLOOKUP(TablaPrecios[[#This Row],[Producto]],'[1]Costo Materia Prima'!A$3:K$424,5,FALSE),"")</f>
        <v>4847.25</v>
      </c>
      <c r="I167" s="5">
        <f>IFERROR(TablaPrecios[[#This Row],[Precio]]/TablaPrecios[[#This Row],[Cantidad]],0)</f>
        <v>2.4236249999999999</v>
      </c>
      <c r="J167">
        <f>_xlfn.IFNA(VLOOKUP(TablaPrecios[[#This Row],[Producto]],'[1]Costo Materia Prima'!A$3:K$424,8,FALSE),"")</f>
        <v>0</v>
      </c>
      <c r="K167" t="str">
        <f>_xlfn.IFNA(VLOOKUP(TablaPrecios[[#This Row],[Producto]],'[1]Costo Materia Prima'!A$3:K$424,9,FALSE),"-")</f>
        <v>Verificado</v>
      </c>
      <c r="L167" s="96">
        <f>_xlfn.IFNA(VLOOKUP(TablaPrecios[[#This Row],[Producto]],'[1]Costo Materia Prima'!A$3:K$424,11,FALSE),"")</f>
        <v>46042</v>
      </c>
    </row>
    <row r="168" spans="1:12" x14ac:dyDescent="0.2">
      <c r="C168" s="81"/>
      <c r="D168" t="s">
        <v>703</v>
      </c>
      <c r="F168">
        <f>_xlfn.IFNA(VLOOKUP(TablaPrecios[[#This Row],[Producto]],'[1]Costo Materia Prima'!A$3:K$424,3,FALSE),"")</f>
        <v>2000</v>
      </c>
      <c r="G168" t="str">
        <f>_xlfn.IFNA(VLOOKUP(TablaPrecios[[#This Row],[Producto]],'[1]Costo Materia Prima'!A$3:K$424,4,FALSE),"")</f>
        <v>PZ</v>
      </c>
      <c r="H168" s="5">
        <f>_xlfn.IFNA(VLOOKUP(TablaPrecios[[#This Row],[Producto]],'[1]Costo Materia Prima'!A$3:K$424,5,FALSE),"")</f>
        <v>5543.25</v>
      </c>
      <c r="I168" s="5">
        <f>IFERROR(TablaPrecios[[#This Row],[Precio]]/TablaPrecios[[#This Row],[Cantidad]],0)</f>
        <v>2.7716249999999998</v>
      </c>
      <c r="J168">
        <f>_xlfn.IFNA(VLOOKUP(TablaPrecios[[#This Row],[Producto]],'[1]Costo Materia Prima'!A$3:K$424,8,FALSE),"")</f>
        <v>0</v>
      </c>
      <c r="K168" t="str">
        <f>_xlfn.IFNA(VLOOKUP(TablaPrecios[[#This Row],[Producto]],'[1]Costo Materia Prima'!A$3:K$424,9,FALSE),"-")</f>
        <v>Verificado</v>
      </c>
      <c r="L168" s="96">
        <f>_xlfn.IFNA(VLOOKUP(TablaPrecios[[#This Row],[Producto]],'[1]Costo Materia Prima'!A$3:K$424,11,FALSE),"")</f>
        <v>46042</v>
      </c>
    </row>
    <row r="169" spans="1:12" x14ac:dyDescent="0.2">
      <c r="C169" s="81"/>
      <c r="D169" t="s">
        <v>704</v>
      </c>
      <c r="F169">
        <f>_xlfn.IFNA(VLOOKUP(TablaPrecios[[#This Row],[Producto]],'[1]Costo Materia Prima'!A$3:K$424,3,FALSE),"")</f>
        <v>2000</v>
      </c>
      <c r="G169" t="str">
        <f>_xlfn.IFNA(VLOOKUP(TablaPrecios[[#This Row],[Producto]],'[1]Costo Materia Prima'!A$3:K$424,4,FALSE),"")</f>
        <v>PZ</v>
      </c>
      <c r="H169" s="5">
        <f>_xlfn.IFNA(VLOOKUP(TablaPrecios[[#This Row],[Producto]],'[1]Costo Materia Prima'!A$3:K$424,5,FALSE),"")</f>
        <v>2017.32</v>
      </c>
      <c r="I169" s="5">
        <f>IFERROR(TablaPrecios[[#This Row],[Precio]]/TablaPrecios[[#This Row],[Cantidad]],0)</f>
        <v>1.0086599999999999</v>
      </c>
      <c r="J169">
        <f>_xlfn.IFNA(VLOOKUP(TablaPrecios[[#This Row],[Producto]],'[1]Costo Materia Prima'!A$3:K$424,8,FALSE),"")</f>
        <v>0</v>
      </c>
      <c r="K169" t="str">
        <f>_xlfn.IFNA(VLOOKUP(TablaPrecios[[#This Row],[Producto]],'[1]Costo Materia Prima'!A$3:K$424,9,FALSE),"-")</f>
        <v>Verificado</v>
      </c>
      <c r="L169" s="96">
        <f>_xlfn.IFNA(VLOOKUP(TablaPrecios[[#This Row],[Producto]],'[1]Costo Materia Prima'!A$3:K$424,11,FALSE),"")</f>
        <v>46042</v>
      </c>
    </row>
    <row r="170" spans="1:12" x14ac:dyDescent="0.2">
      <c r="C170" s="81"/>
      <c r="D170" t="s">
        <v>798</v>
      </c>
      <c r="F170">
        <f>_xlfn.IFNA(VLOOKUP(TablaPrecios[[#This Row],[Producto]],'[1]Costo Materia Prima'!A$3:K$424,3,FALSE),"")</f>
        <v>80</v>
      </c>
      <c r="G170" t="str">
        <f>_xlfn.IFNA(VLOOKUP(TablaPrecios[[#This Row],[Producto]],'[1]Costo Materia Prima'!A$3:K$424,4,FALSE),"")</f>
        <v>PZ</v>
      </c>
      <c r="H170" s="5">
        <f>_xlfn.IFNA(VLOOKUP(TablaPrecios[[#This Row],[Producto]],'[1]Costo Materia Prima'!A$3:K$424,5,FALSE),"")</f>
        <v>380</v>
      </c>
      <c r="I170" s="5">
        <f>IFERROR(TablaPrecios[[#This Row],[Precio]]/TablaPrecios[[#This Row],[Cantidad]],0)</f>
        <v>4.75</v>
      </c>
      <c r="J170" t="str">
        <f>_xlfn.IFNA(VLOOKUP(TablaPrecios[[#This Row],[Producto]],'[1]Costo Materia Prima'!A$3:K$424,8,FALSE),"")</f>
        <v>PZ</v>
      </c>
      <c r="K170" t="str">
        <f>_xlfn.IFNA(VLOOKUP(TablaPrecios[[#This Row],[Producto]],'[1]Costo Materia Prima'!A$3:K$424,9,FALSE),"-")</f>
        <v>Verificado</v>
      </c>
      <c r="L170" s="96">
        <f>_xlfn.IFNA(VLOOKUP(TablaPrecios[[#This Row],[Producto]],'[1]Costo Materia Prima'!A$3:K$424,11,FALSE),"")</f>
        <v>46050</v>
      </c>
    </row>
    <row r="171" spans="1:12" x14ac:dyDescent="0.2">
      <c r="C171" s="81"/>
      <c r="D171" t="s">
        <v>799</v>
      </c>
      <c r="F171">
        <f>_xlfn.IFNA(VLOOKUP(TablaPrecios[[#This Row],[Producto]],'[1]Costo Materia Prima'!A$3:K$424,3,FALSE),"")</f>
        <v>130</v>
      </c>
      <c r="G171" t="str">
        <f>_xlfn.IFNA(VLOOKUP(TablaPrecios[[#This Row],[Producto]],'[1]Costo Materia Prima'!A$3:K$424,4,FALSE),"")</f>
        <v>PZ</v>
      </c>
      <c r="H171" s="5">
        <f>_xlfn.IFNA(VLOOKUP(TablaPrecios[[#This Row],[Producto]],'[1]Costo Materia Prima'!A$3:K$424,5,FALSE),"")</f>
        <v>627</v>
      </c>
      <c r="I171" s="5">
        <f>IFERROR(TablaPrecios[[#This Row],[Precio]]/TablaPrecios[[#This Row],[Cantidad]],0)</f>
        <v>4.8230769230769228</v>
      </c>
      <c r="J171" t="str">
        <f>_xlfn.IFNA(VLOOKUP(TablaPrecios[[#This Row],[Producto]],'[1]Costo Materia Prima'!A$3:K$424,8,FALSE),"")</f>
        <v>PZ</v>
      </c>
      <c r="K171" t="str">
        <f>_xlfn.IFNA(VLOOKUP(TablaPrecios[[#This Row],[Producto]],'[1]Costo Materia Prima'!A$3:K$424,9,FALSE),"-")</f>
        <v>Verificado</v>
      </c>
      <c r="L171" s="96">
        <f>_xlfn.IFNA(VLOOKUP(TablaPrecios[[#This Row],[Producto]],'[1]Costo Materia Prima'!A$3:K$424,11,FALSE),"")</f>
        <v>46050</v>
      </c>
    </row>
    <row r="172" spans="1:12" x14ac:dyDescent="0.2">
      <c r="C172" s="81"/>
      <c r="D172" t="s">
        <v>800</v>
      </c>
      <c r="F172">
        <f>_xlfn.IFNA(VLOOKUP(TablaPrecios[[#This Row],[Producto]],'[1]Costo Materia Prima'!A$3:K$424,3,FALSE),"")</f>
        <v>130</v>
      </c>
      <c r="G172" t="str">
        <f>_xlfn.IFNA(VLOOKUP(TablaPrecios[[#This Row],[Producto]],'[1]Costo Materia Prima'!A$3:K$424,4,FALSE),"")</f>
        <v>PZ</v>
      </c>
      <c r="H172" s="5">
        <f>_xlfn.IFNA(VLOOKUP(TablaPrecios[[#This Row],[Producto]],'[1]Costo Materia Prima'!A$3:K$424,5,FALSE),"")</f>
        <v>361</v>
      </c>
      <c r="I172" s="5">
        <f>IFERROR(TablaPrecios[[#This Row],[Precio]]/TablaPrecios[[#This Row],[Cantidad]],0)</f>
        <v>2.7769230769230768</v>
      </c>
      <c r="J172" t="str">
        <f>_xlfn.IFNA(VLOOKUP(TablaPrecios[[#This Row],[Producto]],'[1]Costo Materia Prima'!A$3:K$424,8,FALSE),"")</f>
        <v>PZ</v>
      </c>
      <c r="K172" t="str">
        <f>_xlfn.IFNA(VLOOKUP(TablaPrecios[[#This Row],[Producto]],'[1]Costo Materia Prima'!A$3:K$424,9,FALSE),"-")</f>
        <v>Verificado</v>
      </c>
      <c r="L172" s="96">
        <f>_xlfn.IFNA(VLOOKUP(TablaPrecios[[#This Row],[Producto]],'[1]Costo Materia Prima'!A$3:K$424,11,FALSE),"")</f>
        <v>46050</v>
      </c>
    </row>
    <row r="173" spans="1:12" x14ac:dyDescent="0.2">
      <c r="C173" s="81"/>
      <c r="D173" t="s">
        <v>801</v>
      </c>
      <c r="F173">
        <f>_xlfn.IFNA(VLOOKUP(TablaPrecios[[#This Row],[Producto]],'[1]Costo Materia Prima'!A$3:K$424,3,FALSE),"")</f>
        <v>80</v>
      </c>
      <c r="G173" t="str">
        <f>_xlfn.IFNA(VLOOKUP(TablaPrecios[[#This Row],[Producto]],'[1]Costo Materia Prima'!A$3:K$424,4,FALSE),"")</f>
        <v>PZ</v>
      </c>
      <c r="H173" s="5">
        <f>_xlfn.IFNA(VLOOKUP(TablaPrecios[[#This Row],[Producto]],'[1]Costo Materia Prima'!A$3:K$424,5,FALSE),"")</f>
        <v>165</v>
      </c>
      <c r="I173" s="5">
        <f>IFERROR(TablaPrecios[[#This Row],[Precio]]/TablaPrecios[[#This Row],[Cantidad]],0)</f>
        <v>2.0625</v>
      </c>
      <c r="J173" t="str">
        <f>_xlfn.IFNA(VLOOKUP(TablaPrecios[[#This Row],[Producto]],'[1]Costo Materia Prima'!A$3:K$424,8,FALSE),"")</f>
        <v>PZ</v>
      </c>
      <c r="K173" t="str">
        <f>_xlfn.IFNA(VLOOKUP(TablaPrecios[[#This Row],[Producto]],'[1]Costo Materia Prima'!A$3:K$424,9,FALSE),"-")</f>
        <v>Verificado</v>
      </c>
      <c r="L173" s="96">
        <f>_xlfn.IFNA(VLOOKUP(TablaPrecios[[#This Row],[Producto]],'[1]Costo Materia Prima'!A$3:K$424,11,FALSE),"")</f>
        <v>46050</v>
      </c>
    </row>
    <row r="174" spans="1:12" x14ac:dyDescent="0.2">
      <c r="C174" s="81"/>
      <c r="D174" t="s">
        <v>802</v>
      </c>
      <c r="F174">
        <f>_xlfn.IFNA(VLOOKUP(TablaPrecios[[#This Row],[Producto]],'[1]Costo Materia Prima'!A$3:K$424,3,FALSE),"")</f>
        <v>80</v>
      </c>
      <c r="G174" t="str">
        <f>_xlfn.IFNA(VLOOKUP(TablaPrecios[[#This Row],[Producto]],'[1]Costo Materia Prima'!A$3:K$424,4,FALSE),"")</f>
        <v>PZ</v>
      </c>
      <c r="H174" s="5">
        <f>_xlfn.IFNA(VLOOKUP(TablaPrecios[[#This Row],[Producto]],'[1]Costo Materia Prima'!A$3:K$424,5,FALSE),"")</f>
        <v>290</v>
      </c>
      <c r="I174" s="5">
        <f>IFERROR(TablaPrecios[[#This Row],[Precio]]/TablaPrecios[[#This Row],[Cantidad]],0)</f>
        <v>3.625</v>
      </c>
      <c r="J174" t="str">
        <f>_xlfn.IFNA(VLOOKUP(TablaPrecios[[#This Row],[Producto]],'[1]Costo Materia Prima'!A$3:K$424,8,FALSE),"")</f>
        <v>PZ</v>
      </c>
      <c r="K174" t="str">
        <f>_xlfn.IFNA(VLOOKUP(TablaPrecios[[#This Row],[Producto]],'[1]Costo Materia Prima'!A$3:K$424,9,FALSE),"-")</f>
        <v>Verificado</v>
      </c>
      <c r="L174" s="96">
        <f>_xlfn.IFNA(VLOOKUP(TablaPrecios[[#This Row],[Producto]],'[1]Costo Materia Prima'!A$3:K$424,11,FALSE),"")</f>
        <v>46050</v>
      </c>
    </row>
    <row r="175" spans="1:12" x14ac:dyDescent="0.2">
      <c r="C175" s="81"/>
      <c r="D175" t="s">
        <v>806</v>
      </c>
      <c r="F175" t="str">
        <f>_xlfn.IFNA(VLOOKUP(TablaPrecios[[#This Row],[Producto]],'[1]Costo Materia Prima'!A$3:K$424,3,FALSE),"")</f>
        <v/>
      </c>
      <c r="G175" t="str">
        <f>_xlfn.IFNA(VLOOKUP(TablaPrecios[[#This Row],[Producto]],'[1]Costo Materia Prima'!A$3:K$424,4,FALSE),"")</f>
        <v/>
      </c>
      <c r="H175" s="5" t="str">
        <f>_xlfn.IFNA(VLOOKUP(TablaPrecios[[#This Row],[Producto]],'[1]Costo Materia Prima'!A$3:K$424,5,FALSE),"")</f>
        <v/>
      </c>
      <c r="I175" s="5">
        <f>IFERROR(TablaPrecios[[#This Row],[Precio]]/TablaPrecios[[#This Row],[Cantidad]],0)</f>
        <v>0</v>
      </c>
      <c r="J175" t="str">
        <f>_xlfn.IFNA(VLOOKUP(TablaPrecios[[#This Row],[Producto]],'[1]Costo Materia Prima'!A$3:K$424,8,FALSE),"")</f>
        <v/>
      </c>
      <c r="K175" t="str">
        <f>_xlfn.IFNA(VLOOKUP(TablaPrecios[[#This Row],[Producto]],'[1]Costo Materia Prima'!A$3:K$424,9,FALSE),"-")</f>
        <v>-</v>
      </c>
      <c r="L175" s="96" t="str">
        <f>_xlfn.IFNA(VLOOKUP(TablaPrecios[[#This Row],[Producto]],'[1]Costo Materia Prima'!A$3:K$424,11,FALSE),"")</f>
        <v/>
      </c>
    </row>
    <row r="176" spans="1:12" x14ac:dyDescent="0.2">
      <c r="C176" s="81"/>
      <c r="D176" t="s">
        <v>807</v>
      </c>
      <c r="F176" t="str">
        <f>_xlfn.IFNA(VLOOKUP(TablaPrecios[[#This Row],[Producto]],'[1]Costo Materia Prima'!A$3:K$424,3,FALSE),"")</f>
        <v/>
      </c>
      <c r="G176" t="str">
        <f>_xlfn.IFNA(VLOOKUP(TablaPrecios[[#This Row],[Producto]],'[1]Costo Materia Prima'!A$3:K$424,4,FALSE),"")</f>
        <v/>
      </c>
      <c r="H176" s="5" t="str">
        <f>_xlfn.IFNA(VLOOKUP(TablaPrecios[[#This Row],[Producto]],'[1]Costo Materia Prima'!A$3:K$424,5,FALSE),"")</f>
        <v/>
      </c>
      <c r="I176" s="5">
        <f>IFERROR(TablaPrecios[[#This Row],[Precio]]/TablaPrecios[[#This Row],[Cantidad]],0)</f>
        <v>0</v>
      </c>
      <c r="J176" t="str">
        <f>_xlfn.IFNA(VLOOKUP(TablaPrecios[[#This Row],[Producto]],'[1]Costo Materia Prima'!A$3:K$424,8,FALSE),"")</f>
        <v/>
      </c>
      <c r="K176" t="str">
        <f>_xlfn.IFNA(VLOOKUP(TablaPrecios[[#This Row],[Producto]],'[1]Costo Materia Prima'!A$3:K$424,9,FALSE),"-")</f>
        <v>-</v>
      </c>
      <c r="L176" s="96" t="str">
        <f>_xlfn.IFNA(VLOOKUP(TablaPrecios[[#This Row],[Producto]],'[1]Costo Materia Prima'!A$3:K$424,11,FALSE),"")</f>
        <v/>
      </c>
    </row>
    <row r="177" spans="3:12" x14ac:dyDescent="0.2">
      <c r="C177" s="81"/>
      <c r="D177" t="s">
        <v>808</v>
      </c>
      <c r="F177" t="str">
        <f>_xlfn.IFNA(VLOOKUP(TablaPrecios[[#This Row],[Producto]],'[1]Costo Materia Prima'!A$3:K$424,3,FALSE),"")</f>
        <v/>
      </c>
      <c r="G177" t="str">
        <f>_xlfn.IFNA(VLOOKUP(TablaPrecios[[#This Row],[Producto]],'[1]Costo Materia Prima'!A$3:K$424,4,FALSE),"")</f>
        <v/>
      </c>
      <c r="H177" s="5" t="str">
        <f>_xlfn.IFNA(VLOOKUP(TablaPrecios[[#This Row],[Producto]],'[1]Costo Materia Prima'!A$3:K$424,5,FALSE),"")</f>
        <v/>
      </c>
      <c r="I177" s="5">
        <f>IFERROR(TablaPrecios[[#This Row],[Precio]]/TablaPrecios[[#This Row],[Cantidad]],0)</f>
        <v>0</v>
      </c>
      <c r="J177" t="str">
        <f>_xlfn.IFNA(VLOOKUP(TablaPrecios[[#This Row],[Producto]],'[1]Costo Materia Prima'!A$3:K$424,8,FALSE),"")</f>
        <v/>
      </c>
      <c r="K177" t="str">
        <f>_xlfn.IFNA(VLOOKUP(TablaPrecios[[#This Row],[Producto]],'[1]Costo Materia Prima'!A$3:K$424,9,FALSE),"-")</f>
        <v>-</v>
      </c>
      <c r="L177" s="96" t="str">
        <f>_xlfn.IFNA(VLOOKUP(TablaPrecios[[#This Row],[Producto]],'[1]Costo Materia Prima'!A$3:K$424,11,FALSE),"")</f>
        <v/>
      </c>
    </row>
    <row r="178" spans="3:12" x14ac:dyDescent="0.2">
      <c r="C178" s="81"/>
      <c r="D178" t="s">
        <v>809</v>
      </c>
      <c r="F178" t="str">
        <f>_xlfn.IFNA(VLOOKUP(TablaPrecios[[#This Row],[Producto]],'[1]Costo Materia Prima'!A$3:K$424,3,FALSE),"")</f>
        <v/>
      </c>
      <c r="G178" t="str">
        <f>_xlfn.IFNA(VLOOKUP(TablaPrecios[[#This Row],[Producto]],'[1]Costo Materia Prima'!A$3:K$424,4,FALSE),"")</f>
        <v/>
      </c>
      <c r="H178" s="5" t="str">
        <f>_xlfn.IFNA(VLOOKUP(TablaPrecios[[#This Row],[Producto]],'[1]Costo Materia Prima'!A$3:K$424,5,FALSE),"")</f>
        <v/>
      </c>
      <c r="I178" s="5">
        <f>IFERROR(TablaPrecios[[#This Row],[Precio]]/TablaPrecios[[#This Row],[Cantidad]],0)</f>
        <v>0</v>
      </c>
      <c r="J178" t="str">
        <f>_xlfn.IFNA(VLOOKUP(TablaPrecios[[#This Row],[Producto]],'[1]Costo Materia Prima'!A$3:K$424,8,FALSE),"")</f>
        <v/>
      </c>
      <c r="K178" t="str">
        <f>_xlfn.IFNA(VLOOKUP(TablaPrecios[[#This Row],[Producto]],'[1]Costo Materia Prima'!A$3:K$424,9,FALSE),"-")</f>
        <v>-</v>
      </c>
      <c r="L178" s="96" t="str">
        <f>_xlfn.IFNA(VLOOKUP(TablaPrecios[[#This Row],[Producto]],'[1]Costo Materia Prima'!A$3:K$424,11,FALSE),"")</f>
        <v/>
      </c>
    </row>
    <row r="179" spans="3:12" x14ac:dyDescent="0.2">
      <c r="C179" s="81"/>
      <c r="D179" t="s">
        <v>810</v>
      </c>
      <c r="F179" t="str">
        <f>_xlfn.IFNA(VLOOKUP(TablaPrecios[[#This Row],[Producto]],'[1]Costo Materia Prima'!A$3:K$424,3,FALSE),"")</f>
        <v/>
      </c>
      <c r="G179" t="str">
        <f>_xlfn.IFNA(VLOOKUP(TablaPrecios[[#This Row],[Producto]],'[1]Costo Materia Prima'!A$3:K$424,4,FALSE),"")</f>
        <v/>
      </c>
      <c r="H179" s="5" t="str">
        <f>_xlfn.IFNA(VLOOKUP(TablaPrecios[[#This Row],[Producto]],'[1]Costo Materia Prima'!A$3:K$424,5,FALSE),"")</f>
        <v/>
      </c>
      <c r="I179" s="5">
        <f>IFERROR(TablaPrecios[[#This Row],[Precio]]/TablaPrecios[[#This Row],[Cantidad]],0)</f>
        <v>0</v>
      </c>
      <c r="J179" t="str">
        <f>_xlfn.IFNA(VLOOKUP(TablaPrecios[[#This Row],[Producto]],'[1]Costo Materia Prima'!A$3:K$424,8,FALSE),"")</f>
        <v/>
      </c>
      <c r="K179" t="str">
        <f>_xlfn.IFNA(VLOOKUP(TablaPrecios[[#This Row],[Producto]],'[1]Costo Materia Prima'!A$3:K$424,9,FALSE),"-")</f>
        <v>-</v>
      </c>
      <c r="L179" s="96" t="str">
        <f>_xlfn.IFNA(VLOOKUP(TablaPrecios[[#This Row],[Producto]],'[1]Costo Materia Prima'!A$3:K$424,11,FALSE),"")</f>
        <v/>
      </c>
    </row>
    <row r="180" spans="3:12" x14ac:dyDescent="0.2">
      <c r="C180" s="81"/>
      <c r="D180" t="s">
        <v>811</v>
      </c>
      <c r="F180" t="str">
        <f>_xlfn.IFNA(VLOOKUP(TablaPrecios[[#This Row],[Producto]],'[1]Costo Materia Prima'!A$3:K$424,3,FALSE),"")</f>
        <v/>
      </c>
      <c r="G180" t="str">
        <f>_xlfn.IFNA(VLOOKUP(TablaPrecios[[#This Row],[Producto]],'[1]Costo Materia Prima'!A$3:K$424,4,FALSE),"")</f>
        <v/>
      </c>
      <c r="H180" s="5" t="str">
        <f>_xlfn.IFNA(VLOOKUP(TablaPrecios[[#This Row],[Producto]],'[1]Costo Materia Prima'!A$3:K$424,5,FALSE),"")</f>
        <v/>
      </c>
      <c r="I180" s="5">
        <f>IFERROR(TablaPrecios[[#This Row],[Precio]]/TablaPrecios[[#This Row],[Cantidad]],0)</f>
        <v>0</v>
      </c>
      <c r="J180" t="str">
        <f>_xlfn.IFNA(VLOOKUP(TablaPrecios[[#This Row],[Producto]],'[1]Costo Materia Prima'!A$3:K$424,8,FALSE),"")</f>
        <v/>
      </c>
      <c r="K180" t="str">
        <f>_xlfn.IFNA(VLOOKUP(TablaPrecios[[#This Row],[Producto]],'[1]Costo Materia Prima'!A$3:K$424,9,FALSE),"-")</f>
        <v>-</v>
      </c>
      <c r="L180" s="96" t="str">
        <f>_xlfn.IFNA(VLOOKUP(TablaPrecios[[#This Row],[Producto]],'[1]Costo Materia Prima'!A$3:K$424,11,FALSE),"")</f>
        <v/>
      </c>
    </row>
    <row r="181" spans="3:12" x14ac:dyDescent="0.2">
      <c r="C181" s="81"/>
      <c r="D181" t="s">
        <v>812</v>
      </c>
      <c r="F181" t="str">
        <f>_xlfn.IFNA(VLOOKUP(TablaPrecios[[#This Row],[Producto]],'[1]Costo Materia Prima'!A$3:K$424,3,FALSE),"")</f>
        <v/>
      </c>
      <c r="G181" t="str">
        <f>_xlfn.IFNA(VLOOKUP(TablaPrecios[[#This Row],[Producto]],'[1]Costo Materia Prima'!A$3:K$424,4,FALSE),"")</f>
        <v/>
      </c>
      <c r="H181" s="5" t="str">
        <f>_xlfn.IFNA(VLOOKUP(TablaPrecios[[#This Row],[Producto]],'[1]Costo Materia Prima'!A$3:K$424,5,FALSE),"")</f>
        <v/>
      </c>
      <c r="I181" s="5">
        <f>IFERROR(TablaPrecios[[#This Row],[Precio]]/TablaPrecios[[#This Row],[Cantidad]],0)</f>
        <v>0</v>
      </c>
      <c r="J181" t="str">
        <f>_xlfn.IFNA(VLOOKUP(TablaPrecios[[#This Row],[Producto]],'[1]Costo Materia Prima'!A$3:K$424,8,FALSE),"")</f>
        <v/>
      </c>
      <c r="K181" t="str">
        <f>_xlfn.IFNA(VLOOKUP(TablaPrecios[[#This Row],[Producto]],'[1]Costo Materia Prima'!A$3:K$424,9,FALSE),"-")</f>
        <v>-</v>
      </c>
      <c r="L181" s="96" t="str">
        <f>_xlfn.IFNA(VLOOKUP(TablaPrecios[[#This Row],[Producto]],'[1]Costo Materia Prima'!A$3:K$424,11,FALSE),"")</f>
        <v/>
      </c>
    </row>
  </sheetData>
  <pageMargins left="0.7" right="0.7" top="0.75" bottom="0.75" header="0.3" footer="0.3"/>
  <pageSetup orientation="portrait" horizontalDpi="0" verticalDpi="0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AD261D-B0DE-4D84-B816-6A26861709FB}">
  <sheetPr codeName="Hoja4">
    <pageSetUpPr fitToPage="1"/>
  </sheetPr>
  <dimension ref="A2:O174"/>
  <sheetViews>
    <sheetView topLeftCell="A54" zoomScale="112" zoomScaleNormal="112" workbookViewId="0">
      <selection activeCell="E164" sqref="E164"/>
    </sheetView>
  </sheetViews>
  <sheetFormatPr baseColWidth="10" defaultColWidth="9.1640625" defaultRowHeight="15" x14ac:dyDescent="0.2"/>
  <cols>
    <col min="1" max="1" width="22.83203125" bestFit="1" customWidth="1"/>
    <col min="2" max="2" width="13.5" bestFit="1" customWidth="1"/>
    <col min="3" max="3" width="7.5" bestFit="1" customWidth="1"/>
    <col min="4" max="4" width="13.1640625" bestFit="1" customWidth="1"/>
    <col min="5" max="5" width="13" bestFit="1" customWidth="1"/>
    <col min="6" max="6" width="13.5" bestFit="1" customWidth="1"/>
    <col min="7" max="7" width="16" customWidth="1"/>
    <col min="8" max="8" width="10.1640625" bestFit="1" customWidth="1"/>
    <col min="9" max="9" width="10.5" bestFit="1" customWidth="1"/>
    <col min="10" max="10" width="10.1640625" bestFit="1" customWidth="1"/>
  </cols>
  <sheetData>
    <row r="2" spans="1:9" ht="16" thickBot="1" x14ac:dyDescent="0.25">
      <c r="A2" s="313" t="s">
        <v>340</v>
      </c>
      <c r="B2" s="313"/>
      <c r="C2" s="313"/>
      <c r="D2" s="313"/>
      <c r="E2" s="6"/>
    </row>
    <row r="3" spans="1:9" ht="16" thickBot="1" x14ac:dyDescent="0.25">
      <c r="A3" s="7" t="s">
        <v>341</v>
      </c>
      <c r="B3" s="7" t="s">
        <v>4</v>
      </c>
      <c r="C3" s="7" t="s">
        <v>5</v>
      </c>
      <c r="D3" s="7" t="s">
        <v>7</v>
      </c>
      <c r="E3" s="6"/>
      <c r="F3" s="8" t="s">
        <v>342</v>
      </c>
      <c r="G3" s="9">
        <v>4.7249999999999996</v>
      </c>
    </row>
    <row r="4" spans="1:9" x14ac:dyDescent="0.2">
      <c r="A4" t="s">
        <v>185</v>
      </c>
      <c r="B4" s="10">
        <v>4.6159999999999997</v>
      </c>
      <c r="C4" t="s">
        <v>15</v>
      </c>
      <c r="D4" s="6">
        <f>VLOOKUP(A4,'Costo Materia Prima'!$D$3:$I$234,6,FALSE)*B4</f>
        <v>288.04745098039211</v>
      </c>
      <c r="E4" s="23">
        <f>(B4/$G$3)*1000</f>
        <v>976.93121693121702</v>
      </c>
    </row>
    <row r="5" spans="1:9" x14ac:dyDescent="0.2">
      <c r="A5" t="s">
        <v>315</v>
      </c>
      <c r="B5" s="10">
        <v>0.2</v>
      </c>
      <c r="C5" t="s">
        <v>15</v>
      </c>
      <c r="D5" s="6">
        <f>VLOOKUP(A5,'Costo Materia Prima'!$D$3:$I$234,6,FALSE)*B5</f>
        <v>12.82</v>
      </c>
      <c r="E5" s="23">
        <f>(B5/$G$3)*1000</f>
        <v>42.328042328042329</v>
      </c>
      <c r="F5" s="4" t="s">
        <v>343</v>
      </c>
      <c r="G5" s="11">
        <f>D8/G3</f>
        <v>85.035862641352836</v>
      </c>
    </row>
    <row r="6" spans="1:9" x14ac:dyDescent="0.2">
      <c r="A6" t="s">
        <v>187</v>
      </c>
      <c r="B6" s="10">
        <v>1</v>
      </c>
      <c r="C6" t="s">
        <v>18</v>
      </c>
      <c r="D6" s="6">
        <f>VLOOKUP(A6,'Costo Materia Prima'!$D$3:$I$234,6,FALSE)*B6</f>
        <v>57.186999999999998</v>
      </c>
      <c r="E6" s="23">
        <f>(B6/$G$3)*1000</f>
        <v>211.64021164021165</v>
      </c>
    </row>
    <row r="7" spans="1:9" x14ac:dyDescent="0.2">
      <c r="A7" t="s">
        <v>317</v>
      </c>
      <c r="B7" s="10">
        <v>0.18</v>
      </c>
      <c r="C7" t="s">
        <v>15</v>
      </c>
      <c r="D7" s="6">
        <f>VLOOKUP(A7,'Costo Materia Prima'!$D$3:$I$234,6,FALSE)*B7</f>
        <v>43.739999999999995</v>
      </c>
      <c r="E7" s="23">
        <f>(B7/$G$3)*1000</f>
        <v>38.095238095238102</v>
      </c>
      <c r="F7" t="s">
        <v>760</v>
      </c>
      <c r="G7" s="13">
        <f>[2]INSUMOS!$K$17</f>
        <v>12.275941228885785</v>
      </c>
    </row>
    <row r="8" spans="1:9" ht="16" thickBot="1" x14ac:dyDescent="0.25">
      <c r="B8" s="310" t="s">
        <v>344</v>
      </c>
      <c r="C8" s="310"/>
      <c r="D8" s="116">
        <f>SUM(D4:D7)</f>
        <v>401.79445098039213</v>
      </c>
    </row>
    <row r="9" spans="1:9" ht="16" thickTop="1" x14ac:dyDescent="0.2">
      <c r="D9" s="6"/>
    </row>
    <row r="10" spans="1:9" ht="16" thickBot="1" x14ac:dyDescent="0.25">
      <c r="A10" s="313" t="s">
        <v>345</v>
      </c>
      <c r="B10" s="313"/>
      <c r="C10" s="313"/>
      <c r="D10" s="313"/>
      <c r="E10" s="6"/>
    </row>
    <row r="11" spans="1:9" ht="16" thickBot="1" x14ac:dyDescent="0.25">
      <c r="A11" s="7" t="s">
        <v>341</v>
      </c>
      <c r="B11" s="7" t="s">
        <v>4</v>
      </c>
      <c r="C11" s="7" t="s">
        <v>5</v>
      </c>
      <c r="D11" s="7" t="s">
        <v>7</v>
      </c>
      <c r="E11" s="6"/>
      <c r="F11" s="8" t="s">
        <v>342</v>
      </c>
      <c r="G11" s="9">
        <v>10.48</v>
      </c>
    </row>
    <row r="12" spans="1:9" x14ac:dyDescent="0.2">
      <c r="A12" t="s">
        <v>311</v>
      </c>
      <c r="B12" s="10">
        <v>1.8</v>
      </c>
      <c r="C12" t="s">
        <v>15</v>
      </c>
      <c r="D12" s="6">
        <f>VLOOKUP(A12,'Costo Materia Prima'!$D$3:$I$234,6,FALSE)*B12</f>
        <v>279</v>
      </c>
      <c r="E12" s="23">
        <f t="shared" ref="E12:E17" si="0">(B12/$G$11)*1000</f>
        <v>171.75572519083971</v>
      </c>
    </row>
    <row r="13" spans="1:9" x14ac:dyDescent="0.2">
      <c r="A13" t="s">
        <v>13</v>
      </c>
      <c r="B13" s="10">
        <v>0.5</v>
      </c>
      <c r="C13" t="s">
        <v>15</v>
      </c>
      <c r="D13" s="6">
        <f>VLOOKUP(A13,'Costo Materia Prima'!$D$3:$I$234,6,FALSE)*B13</f>
        <v>10.199999999999999</v>
      </c>
      <c r="E13" s="23">
        <f t="shared" si="0"/>
        <v>47.709923664122137</v>
      </c>
      <c r="F13" s="4" t="s">
        <v>343</v>
      </c>
      <c r="G13" s="11">
        <f>D18/G11</f>
        <v>92.646536756520334</v>
      </c>
      <c r="H13" s="13"/>
      <c r="I13" s="13">
        <f>G13/2</f>
        <v>46.323268378260167</v>
      </c>
    </row>
    <row r="14" spans="1:9" x14ac:dyDescent="0.2">
      <c r="A14" t="s">
        <v>22</v>
      </c>
      <c r="B14" s="10">
        <f>10*0.47</f>
        <v>4.6999999999999993</v>
      </c>
      <c r="C14" t="s">
        <v>18</v>
      </c>
      <c r="D14" s="6">
        <f>VLOOKUP(A14,'Costo Materia Prima'!$D$3:$I$234,6,FALSE)*B14</f>
        <v>274.16666666666663</v>
      </c>
      <c r="E14" s="23">
        <f t="shared" si="0"/>
        <v>448.47328244274797</v>
      </c>
    </row>
    <row r="15" spans="1:9" x14ac:dyDescent="0.2">
      <c r="A15" t="s">
        <v>276</v>
      </c>
      <c r="B15" s="10">
        <v>4</v>
      </c>
      <c r="C15" t="s">
        <v>15</v>
      </c>
      <c r="D15" s="6">
        <f>VLOOKUP(A15,'Costo Materia Prima'!$D$3:$I$234,6,FALSE)*B15</f>
        <v>320</v>
      </c>
      <c r="E15" s="23">
        <f t="shared" si="0"/>
        <v>381.67938931297709</v>
      </c>
      <c r="F15" t="s">
        <v>760</v>
      </c>
      <c r="G15" s="13">
        <f>[2]INSUMOS!$K$14</f>
        <v>1.092475834023773</v>
      </c>
    </row>
    <row r="16" spans="1:9" x14ac:dyDescent="0.2">
      <c r="A16" t="s">
        <v>183</v>
      </c>
      <c r="B16" s="10">
        <v>0.1</v>
      </c>
      <c r="C16" t="s">
        <v>18</v>
      </c>
      <c r="D16" s="6">
        <f>VLOOKUP(A16,'Costo Materia Prima'!$D$3:$I$234,6,FALSE)*B16</f>
        <v>6.9621718750000001</v>
      </c>
      <c r="E16" s="23">
        <f t="shared" si="0"/>
        <v>9.5419847328244281</v>
      </c>
    </row>
    <row r="17" spans="1:9" x14ac:dyDescent="0.2">
      <c r="A17" t="s">
        <v>164</v>
      </c>
      <c r="B17" s="10">
        <v>0.28000000000000003</v>
      </c>
      <c r="C17" t="s">
        <v>15</v>
      </c>
      <c r="D17" s="6">
        <f>VLOOKUP(A17,'Costo Materia Prima'!$D$3:$I$234,6,FALSE)*B17</f>
        <v>80.606866666666676</v>
      </c>
      <c r="E17" s="23">
        <f t="shared" si="0"/>
        <v>26.717557251908399</v>
      </c>
    </row>
    <row r="18" spans="1:9" ht="16" thickBot="1" x14ac:dyDescent="0.25">
      <c r="B18" s="310" t="s">
        <v>344</v>
      </c>
      <c r="C18" s="310"/>
      <c r="D18" s="116">
        <f>SUM(D12:D17)</f>
        <v>970.93570520833316</v>
      </c>
    </row>
    <row r="19" spans="1:9" ht="16" thickTop="1" x14ac:dyDescent="0.2"/>
    <row r="20" spans="1:9" ht="16" thickBot="1" x14ac:dyDescent="0.25">
      <c r="A20" s="313" t="s">
        <v>346</v>
      </c>
      <c r="B20" s="313"/>
      <c r="C20" s="313"/>
      <c r="D20" s="313"/>
      <c r="E20" s="6"/>
    </row>
    <row r="21" spans="1:9" ht="16" thickBot="1" x14ac:dyDescent="0.25">
      <c r="A21" s="7" t="s">
        <v>341</v>
      </c>
      <c r="B21" s="7" t="s">
        <v>4</v>
      </c>
      <c r="C21" s="7" t="s">
        <v>5</v>
      </c>
      <c r="D21" s="7" t="s">
        <v>7</v>
      </c>
      <c r="E21" s="6"/>
      <c r="F21" s="8" t="s">
        <v>342</v>
      </c>
      <c r="G21" s="9">
        <v>9.7200000000000006</v>
      </c>
    </row>
    <row r="22" spans="1:9" x14ac:dyDescent="0.2">
      <c r="A22" t="s">
        <v>311</v>
      </c>
      <c r="B22" s="10">
        <v>4</v>
      </c>
      <c r="C22" t="s">
        <v>15</v>
      </c>
      <c r="D22" s="6">
        <f>VLOOKUP(A22,'Costo Materia Prima'!$D$3:$I$234,6,FALSE)*B22</f>
        <v>620</v>
      </c>
      <c r="E22" s="6"/>
    </row>
    <row r="23" spans="1:9" x14ac:dyDescent="0.2">
      <c r="A23" t="s">
        <v>313</v>
      </c>
      <c r="B23" s="10">
        <v>2.2999999999999998</v>
      </c>
      <c r="C23" t="s">
        <v>15</v>
      </c>
      <c r="D23" s="6">
        <f>VLOOKUP(A23,'Costo Materia Prima'!$D$3:$I$234,6,FALSE)*B23</f>
        <v>402.49815999999993</v>
      </c>
      <c r="E23" s="6"/>
      <c r="F23" s="4" t="s">
        <v>343</v>
      </c>
      <c r="G23" s="11">
        <f>D26/G21</f>
        <v>117.5507325348391</v>
      </c>
      <c r="I23" s="177">
        <f>G23*13.66</f>
        <v>1605.7430064259022</v>
      </c>
    </row>
    <row r="24" spans="1:9" x14ac:dyDescent="0.2">
      <c r="A24" t="s">
        <v>95</v>
      </c>
      <c r="B24" s="10">
        <v>3.36</v>
      </c>
      <c r="C24" t="s">
        <v>18</v>
      </c>
      <c r="D24" s="6">
        <f>VLOOKUP(A24,'Costo Materia Prima'!$D$3:$I$234,6,FALSE)*B24</f>
        <v>113.13278836363635</v>
      </c>
    </row>
    <row r="25" spans="1:9" x14ac:dyDescent="0.2">
      <c r="A25" t="s">
        <v>183</v>
      </c>
      <c r="B25" s="10">
        <v>0.1</v>
      </c>
      <c r="C25" t="s">
        <v>18</v>
      </c>
      <c r="D25" s="6">
        <f>VLOOKUP(A25,'Costo Materia Prima'!$D$3:$I$234,6,FALSE)*B25</f>
        <v>6.9621718750000001</v>
      </c>
      <c r="F25" t="s">
        <v>760</v>
      </c>
      <c r="G25" s="13">
        <f>[2]INSUMOS!$K$16</f>
        <v>1.3576286049497877</v>
      </c>
    </row>
    <row r="26" spans="1:9" ht="16" thickBot="1" x14ac:dyDescent="0.25">
      <c r="B26" s="310" t="s">
        <v>344</v>
      </c>
      <c r="C26" s="310"/>
      <c r="D26" s="116">
        <f>SUM(D22:D25)</f>
        <v>1142.5931202386362</v>
      </c>
    </row>
    <row r="27" spans="1:9" ht="16" thickTop="1" x14ac:dyDescent="0.2"/>
    <row r="29" spans="1:9" ht="16" thickBot="1" x14ac:dyDescent="0.25">
      <c r="A29" s="313" t="s">
        <v>347</v>
      </c>
      <c r="B29" s="313"/>
      <c r="C29" s="313"/>
      <c r="D29" s="313"/>
      <c r="E29" s="6"/>
    </row>
    <row r="30" spans="1:9" ht="16" thickBot="1" x14ac:dyDescent="0.25">
      <c r="A30" s="7" t="s">
        <v>341</v>
      </c>
      <c r="B30" s="7" t="s">
        <v>4</v>
      </c>
      <c r="C30" s="7" t="s">
        <v>5</v>
      </c>
      <c r="D30" s="7" t="s">
        <v>7</v>
      </c>
      <c r="E30" s="6"/>
      <c r="F30" s="8" t="s">
        <v>342</v>
      </c>
      <c r="G30" s="16">
        <v>20</v>
      </c>
    </row>
    <row r="31" spans="1:9" x14ac:dyDescent="0.2">
      <c r="A31" t="s">
        <v>185</v>
      </c>
      <c r="B31" s="10">
        <v>5.0720000000000001</v>
      </c>
      <c r="C31" t="s">
        <v>15</v>
      </c>
      <c r="D31" s="6">
        <f>VLOOKUP(A31,'Costo Materia Prima'!$D$3:$I$234,6,FALSE)*B31</f>
        <v>316.50274509803921</v>
      </c>
      <c r="E31" s="6"/>
    </row>
    <row r="32" spans="1:9" x14ac:dyDescent="0.2">
      <c r="A32" t="s">
        <v>187</v>
      </c>
      <c r="B32" s="10">
        <v>4</v>
      </c>
      <c r="C32" t="s">
        <v>18</v>
      </c>
      <c r="D32" s="6">
        <f>VLOOKUP(A32,'Costo Materia Prima'!$D$3:$I$234,6,FALSE)*B32</f>
        <v>228.74799999999999</v>
      </c>
      <c r="E32" s="6"/>
      <c r="F32" s="4" t="s">
        <v>348</v>
      </c>
      <c r="G32" s="11">
        <f>D35/G30</f>
        <v>39.514700145526959</v>
      </c>
    </row>
    <row r="33" spans="1:15" x14ac:dyDescent="0.2">
      <c r="A33" t="s">
        <v>26</v>
      </c>
      <c r="B33" s="10">
        <v>12</v>
      </c>
      <c r="C33" t="s">
        <v>18</v>
      </c>
      <c r="D33" s="6">
        <f>VLOOKUP(A33,'Costo Materia Prima'!$D$3:$I$234,6,FALSE)*B33</f>
        <v>234.60000000000002</v>
      </c>
      <c r="L33" s="2" t="s">
        <v>2</v>
      </c>
      <c r="M33" s="2" t="s">
        <v>4</v>
      </c>
      <c r="N33" s="2" t="s">
        <v>731</v>
      </c>
      <c r="O33" s="2" t="s">
        <v>438</v>
      </c>
    </row>
    <row r="34" spans="1:15" x14ac:dyDescent="0.2">
      <c r="A34" t="s">
        <v>183</v>
      </c>
      <c r="B34" s="10">
        <v>0.15</v>
      </c>
      <c r="C34" t="s">
        <v>18</v>
      </c>
      <c r="D34" s="6">
        <f>VLOOKUP(A34,'Costo Materia Prima'!$D$3:$I$234,6,FALSE)*B34</f>
        <v>10.443257812499999</v>
      </c>
      <c r="F34" t="s">
        <v>760</v>
      </c>
      <c r="G34" s="13">
        <f>[2]INSUMOS!$K$11</f>
        <v>0.39050179899691345</v>
      </c>
      <c r="L34" s="2" t="s">
        <v>730</v>
      </c>
      <c r="M34" s="2" t="s">
        <v>466</v>
      </c>
      <c r="N34" s="2" t="s">
        <v>732</v>
      </c>
      <c r="O34" s="2" t="s">
        <v>732</v>
      </c>
    </row>
    <row r="35" spans="1:15" ht="16" thickBot="1" x14ac:dyDescent="0.25">
      <c r="B35" s="310" t="s">
        <v>344</v>
      </c>
      <c r="C35" s="310"/>
      <c r="D35" s="116">
        <f>SUM(D31:D34)</f>
        <v>790.29400291053923</v>
      </c>
    </row>
    <row r="36" spans="1:15" ht="16" thickTop="1" x14ac:dyDescent="0.2"/>
    <row r="38" spans="1:15" ht="16" thickBot="1" x14ac:dyDescent="0.25">
      <c r="A38" s="313" t="s">
        <v>349</v>
      </c>
      <c r="B38" s="313"/>
      <c r="C38" s="313"/>
      <c r="D38" s="313"/>
      <c r="E38" s="6"/>
    </row>
    <row r="39" spans="1:15" ht="16" thickBot="1" x14ac:dyDescent="0.25">
      <c r="A39" s="7" t="s">
        <v>341</v>
      </c>
      <c r="B39" s="7" t="s">
        <v>4</v>
      </c>
      <c r="C39" s="7" t="s">
        <v>5</v>
      </c>
      <c r="D39" s="7" t="s">
        <v>7</v>
      </c>
      <c r="E39" s="6"/>
      <c r="F39" s="8" t="s">
        <v>342</v>
      </c>
      <c r="G39" s="9">
        <v>5.04</v>
      </c>
    </row>
    <row r="40" spans="1:15" x14ac:dyDescent="0.2">
      <c r="A40" t="s">
        <v>222</v>
      </c>
      <c r="B40" s="10">
        <v>0.42499999999999999</v>
      </c>
      <c r="C40" t="s">
        <v>15</v>
      </c>
      <c r="D40" s="6">
        <f>VLOOKUP(A40,'Costo Materia Prima'!$D$3:$I$234,6,FALSE)*B40</f>
        <v>9.1120000000000001</v>
      </c>
      <c r="E40" s="6"/>
      <c r="G40" s="9"/>
    </row>
    <row r="41" spans="1:15" x14ac:dyDescent="0.2">
      <c r="A41" t="s">
        <v>13</v>
      </c>
      <c r="B41" s="10">
        <v>0.5</v>
      </c>
      <c r="C41" t="s">
        <v>15</v>
      </c>
      <c r="D41" s="6">
        <f>VLOOKUP(A41,'Costo Materia Prima'!$D$3:$I$234,6,FALSE)*B41</f>
        <v>10.199999999999999</v>
      </c>
      <c r="E41" s="6"/>
      <c r="F41" s="4" t="s">
        <v>343</v>
      </c>
      <c r="G41" s="11">
        <f>D46/G39</f>
        <v>25.328153263475528</v>
      </c>
    </row>
    <row r="42" spans="1:15" x14ac:dyDescent="0.2">
      <c r="A42" t="s">
        <v>132</v>
      </c>
      <c r="B42" s="10">
        <v>4</v>
      </c>
      <c r="C42" t="s">
        <v>21</v>
      </c>
      <c r="D42" s="6">
        <f>VLOOKUP(A42,'Costo Materia Prima'!$D$3:$I$234,6,FALSE)*B42</f>
        <v>7.2226666666666661</v>
      </c>
    </row>
    <row r="43" spans="1:15" x14ac:dyDescent="0.2">
      <c r="A43" t="s">
        <v>26</v>
      </c>
      <c r="B43" s="10">
        <v>4</v>
      </c>
      <c r="C43" t="s">
        <v>18</v>
      </c>
      <c r="D43" s="6">
        <f>VLOOKUP(A43,'Costo Materia Prima'!$D$3:$I$234,6,FALSE)*B43</f>
        <v>78.2</v>
      </c>
      <c r="F43" t="s">
        <v>760</v>
      </c>
      <c r="G43" s="13">
        <f>[2]INSUMOS!$K$18</f>
        <v>6.2655723866331883</v>
      </c>
    </row>
    <row r="44" spans="1:15" x14ac:dyDescent="0.2">
      <c r="A44" t="s">
        <v>313</v>
      </c>
      <c r="B44" s="10">
        <v>0.125</v>
      </c>
      <c r="C44" t="s">
        <v>15</v>
      </c>
      <c r="D44" s="6">
        <f>VLOOKUP(A44,'Costo Materia Prima'!$D$3:$I$234,6,FALSE)*B44</f>
        <v>21.874899999999997</v>
      </c>
    </row>
    <row r="45" spans="1:15" x14ac:dyDescent="0.2">
      <c r="A45" t="s">
        <v>183</v>
      </c>
      <c r="B45" s="10">
        <v>1.4999999999999999E-2</v>
      </c>
      <c r="C45" t="s">
        <v>18</v>
      </c>
      <c r="D45" s="6">
        <f>VLOOKUP(A45,'Costo Materia Prima'!$D$3:$I$234,6,FALSE)*B45</f>
        <v>1.04432578125</v>
      </c>
    </row>
    <row r="46" spans="1:15" ht="16" thickBot="1" x14ac:dyDescent="0.25">
      <c r="B46" s="310" t="s">
        <v>344</v>
      </c>
      <c r="C46" s="310"/>
      <c r="D46" s="110">
        <f>SUM(D40:D45)</f>
        <v>127.65389244791666</v>
      </c>
    </row>
    <row r="47" spans="1:15" ht="16" thickTop="1" x14ac:dyDescent="0.2">
      <c r="F47" t="s">
        <v>350</v>
      </c>
    </row>
    <row r="48" spans="1:15" ht="16" thickBot="1" x14ac:dyDescent="0.25">
      <c r="A48" s="313" t="s">
        <v>351</v>
      </c>
      <c r="B48" s="313"/>
      <c r="C48" s="313"/>
      <c r="D48" s="313"/>
      <c r="E48" s="6"/>
    </row>
    <row r="49" spans="1:7" ht="16" thickBot="1" x14ac:dyDescent="0.25">
      <c r="A49" s="7" t="s">
        <v>341</v>
      </c>
      <c r="B49" s="7" t="s">
        <v>4</v>
      </c>
      <c r="C49" s="7" t="s">
        <v>5</v>
      </c>
      <c r="D49" s="7" t="s">
        <v>7</v>
      </c>
      <c r="E49" s="6"/>
      <c r="F49" s="8" t="s">
        <v>342</v>
      </c>
      <c r="G49" s="9">
        <v>1.8</v>
      </c>
    </row>
    <row r="50" spans="1:7" x14ac:dyDescent="0.2">
      <c r="A50" t="s">
        <v>190</v>
      </c>
      <c r="B50" s="10">
        <v>1.5</v>
      </c>
      <c r="C50" t="s">
        <v>15</v>
      </c>
      <c r="D50" s="6">
        <f>VLOOKUP(A50,'Costo Materia Prima'!$D$3:$I$234,6,FALSE)*B50</f>
        <v>396.0333333333333</v>
      </c>
      <c r="E50" s="23">
        <f>(B50/$G$49)*1000</f>
        <v>833.33333333333326</v>
      </c>
      <c r="G50" s="9"/>
    </row>
    <row r="51" spans="1:7" x14ac:dyDescent="0.2">
      <c r="A51" t="s">
        <v>26</v>
      </c>
      <c r="B51" s="10">
        <v>0.3</v>
      </c>
      <c r="C51" t="s">
        <v>18</v>
      </c>
      <c r="D51" s="6">
        <f>VLOOKUP(A51,'Costo Materia Prima'!$D$3:$I$234,6,FALSE)*B51</f>
        <v>5.8650000000000002</v>
      </c>
      <c r="E51" s="23">
        <f>(B51/$G$49)*1000</f>
        <v>166.66666666666666</v>
      </c>
      <c r="F51" s="4" t="s">
        <v>343</v>
      </c>
      <c r="G51" s="11">
        <f>D52/G49</f>
        <v>223.27685185185183</v>
      </c>
    </row>
    <row r="52" spans="1:7" ht="16" thickBot="1" x14ac:dyDescent="0.25">
      <c r="B52" s="310" t="s">
        <v>344</v>
      </c>
      <c r="C52" s="310"/>
      <c r="D52" s="110">
        <f>SUM(D50:D51)</f>
        <v>401.89833333333331</v>
      </c>
    </row>
    <row r="53" spans="1:7" ht="16" thickTop="1" x14ac:dyDescent="0.2">
      <c r="F53" t="s">
        <v>760</v>
      </c>
      <c r="G53" s="13">
        <f>[2]INSUMOS!$K$13</f>
        <v>3.0627592078189294</v>
      </c>
    </row>
    <row r="54" spans="1:7" ht="16" thickBot="1" x14ac:dyDescent="0.25">
      <c r="A54" s="313" t="s">
        <v>352</v>
      </c>
      <c r="B54" s="313"/>
      <c r="C54" s="313"/>
      <c r="D54" s="313"/>
    </row>
    <row r="55" spans="1:7" ht="16" thickBot="1" x14ac:dyDescent="0.25">
      <c r="A55" s="7" t="s">
        <v>341</v>
      </c>
      <c r="B55" s="7" t="s">
        <v>4</v>
      </c>
      <c r="C55" s="7" t="s">
        <v>5</v>
      </c>
      <c r="D55" s="7" t="s">
        <v>7</v>
      </c>
      <c r="F55" s="8" t="s">
        <v>342</v>
      </c>
      <c r="G55" s="17">
        <v>16.78</v>
      </c>
    </row>
    <row r="56" spans="1:7" x14ac:dyDescent="0.2">
      <c r="A56" t="s">
        <v>313</v>
      </c>
      <c r="B56" s="10">
        <v>0.74</v>
      </c>
      <c r="C56" t="s">
        <v>15</v>
      </c>
      <c r="D56" s="6">
        <f>VLOOKUP(A56,'Costo Materia Prima'!$D$3:$I$234,6,FALSE)*B56</f>
        <v>129.49940799999999</v>
      </c>
      <c r="E56" s="23">
        <f>(B56/$G$55)*1000</f>
        <v>44.100119189511318</v>
      </c>
      <c r="F56" s="314"/>
      <c r="G56" s="315"/>
    </row>
    <row r="57" spans="1:7" x14ac:dyDescent="0.2">
      <c r="A57" t="s">
        <v>279</v>
      </c>
      <c r="B57" s="10">
        <v>0.05</v>
      </c>
      <c r="C57" t="s">
        <v>15</v>
      </c>
      <c r="D57" s="6">
        <f>VLOOKUP(A57,'Costo Materia Prima'!$D$3:$I$234,6,FALSE)*B57</f>
        <v>14.658863636363634</v>
      </c>
      <c r="E57" s="23">
        <f>(B57/$G$55)*1000</f>
        <v>2.9797377830750893</v>
      </c>
      <c r="F57" s="4" t="s">
        <v>343</v>
      </c>
      <c r="G57" s="11">
        <f>(D59)/G55</f>
        <v>91.579689688396073</v>
      </c>
    </row>
    <row r="58" spans="1:7" x14ac:dyDescent="0.2">
      <c r="A58" t="s">
        <v>147</v>
      </c>
      <c r="B58" s="10">
        <v>16.783000000000001</v>
      </c>
      <c r="C58" t="s">
        <v>15</v>
      </c>
      <c r="D58" s="6">
        <f>VLOOKUP(A58,'Costo Materia Prima'!$D$3:$I$234,6,FALSE)*B58</f>
        <v>1392.5489213349226</v>
      </c>
      <c r="E58" s="23">
        <f>(B58/$G$55)*1000</f>
        <v>1000.1787842669845</v>
      </c>
    </row>
    <row r="59" spans="1:7" ht="16" thickBot="1" x14ac:dyDescent="0.25">
      <c r="B59" s="310" t="s">
        <v>344</v>
      </c>
      <c r="C59" s="310"/>
      <c r="D59" s="110">
        <f>SUM(D56:D58)</f>
        <v>1536.7071929712863</v>
      </c>
      <c r="G59" s="13"/>
    </row>
    <row r="60" spans="1:7" ht="16" thickTop="1" x14ac:dyDescent="0.2"/>
    <row r="61" spans="1:7" ht="16" thickBot="1" x14ac:dyDescent="0.25">
      <c r="A61" s="313" t="s">
        <v>500</v>
      </c>
      <c r="B61" s="313"/>
      <c r="C61" s="313"/>
      <c r="D61" s="313"/>
      <c r="E61" s="6"/>
    </row>
    <row r="62" spans="1:7" ht="16" thickBot="1" x14ac:dyDescent="0.25">
      <c r="A62" s="7" t="s">
        <v>341</v>
      </c>
      <c r="B62" s="7" t="s">
        <v>4</v>
      </c>
      <c r="C62" s="7" t="s">
        <v>5</v>
      </c>
      <c r="D62" s="7" t="s">
        <v>7</v>
      </c>
      <c r="E62" s="6"/>
      <c r="F62" s="8" t="s">
        <v>342</v>
      </c>
      <c r="G62" s="9">
        <v>1.075</v>
      </c>
    </row>
    <row r="63" spans="1:7" x14ac:dyDescent="0.2">
      <c r="A63" t="s">
        <v>22</v>
      </c>
      <c r="B63" s="10">
        <v>0.48</v>
      </c>
      <c r="C63" t="s">
        <v>18</v>
      </c>
      <c r="D63" s="6">
        <f>VLOOKUP(A63,'Costo Materia Prima'!$D$3:$I$234,6,FALSE)*B63</f>
        <v>28</v>
      </c>
      <c r="E63" s="23">
        <f>(B63/$G$62)*1000</f>
        <v>446.51162790697674</v>
      </c>
    </row>
    <row r="64" spans="1:7" x14ac:dyDescent="0.2">
      <c r="A64" t="s">
        <v>192</v>
      </c>
      <c r="B64" s="10">
        <v>0.19500000000000001</v>
      </c>
      <c r="C64" t="s">
        <v>15</v>
      </c>
      <c r="D64" s="6">
        <f>VLOOKUP(A64,'Costo Materia Prima'!$D$3:$I$234,6,FALSE)*B64</f>
        <v>54.9666</v>
      </c>
      <c r="E64" s="23">
        <f>(B64/$G$62)*1000</f>
        <v>181.39534883720933</v>
      </c>
      <c r="F64" s="4" t="s">
        <v>343</v>
      </c>
      <c r="G64" s="11">
        <f>D66/G62</f>
        <v>108.81948377352666</v>
      </c>
    </row>
    <row r="65" spans="1:15" x14ac:dyDescent="0.2">
      <c r="A65" t="s">
        <v>327</v>
      </c>
      <c r="B65" s="10">
        <v>0.4</v>
      </c>
      <c r="C65" t="s">
        <v>15</v>
      </c>
      <c r="D65" s="6">
        <f>B65*G5</f>
        <v>34.014345056541138</v>
      </c>
      <c r="E65" s="23">
        <f>(B65/$G$62)*1000</f>
        <v>372.09302325581399</v>
      </c>
    </row>
    <row r="66" spans="1:15" ht="16" thickBot="1" x14ac:dyDescent="0.25">
      <c r="B66" s="310" t="s">
        <v>344</v>
      </c>
      <c r="C66" s="310"/>
      <c r="D66" s="110">
        <f>SUM(D63:D65)</f>
        <v>116.98094505654115</v>
      </c>
      <c r="F66" t="s">
        <v>760</v>
      </c>
      <c r="G66" s="13">
        <f>[2]INSUMOS!$K$12</f>
        <v>1.9249184965342434</v>
      </c>
    </row>
    <row r="67" spans="1:15" ht="16" thickTop="1" x14ac:dyDescent="0.2"/>
    <row r="68" spans="1:15" ht="16" customHeight="1" thickBot="1" x14ac:dyDescent="0.25">
      <c r="A68" s="313" t="s">
        <v>353</v>
      </c>
      <c r="B68" s="313"/>
      <c r="C68" s="313"/>
      <c r="D68" s="313"/>
    </row>
    <row r="69" spans="1:15" ht="16" thickBot="1" x14ac:dyDescent="0.25">
      <c r="A69" s="7" t="s">
        <v>341</v>
      </c>
      <c r="B69" s="7" t="s">
        <v>4</v>
      </c>
      <c r="C69" s="7" t="s">
        <v>5</v>
      </c>
      <c r="D69" s="7" t="s">
        <v>7</v>
      </c>
      <c r="F69" s="8" t="s">
        <v>342</v>
      </c>
      <c r="G69" s="9">
        <v>9.3800000000000008</v>
      </c>
    </row>
    <row r="70" spans="1:15" x14ac:dyDescent="0.2">
      <c r="A70" t="s">
        <v>13</v>
      </c>
      <c r="B70" s="12">
        <v>1.56</v>
      </c>
      <c r="C70" t="s">
        <v>15</v>
      </c>
      <c r="D70" s="6">
        <f>_xlfn.IFNA(VLOOKUP(A70,'Costo Materia Prima'!$D$3:$I$234,6,FALSE)*B70,0)</f>
        <v>31.823999999999998</v>
      </c>
      <c r="F70" s="314"/>
      <c r="G70" s="315"/>
    </row>
    <row r="71" spans="1:15" x14ac:dyDescent="0.2">
      <c r="A71" t="s">
        <v>222</v>
      </c>
      <c r="B71" s="12">
        <v>0.42499999999999999</v>
      </c>
      <c r="C71" t="s">
        <v>15</v>
      </c>
      <c r="D71" s="6">
        <f>_xlfn.IFNA(VLOOKUP(A71,'Costo Materia Prima'!$D$3:$I$234,6,FALSE)*B71,0)</f>
        <v>9.1120000000000001</v>
      </c>
      <c r="F71" s="4" t="s">
        <v>343</v>
      </c>
      <c r="G71" s="11">
        <f>D76/G69</f>
        <v>12.234475636853327</v>
      </c>
    </row>
    <row r="72" spans="1:15" x14ac:dyDescent="0.2">
      <c r="A72" t="s">
        <v>200</v>
      </c>
      <c r="B72" s="12">
        <f>7.82+1.34</f>
        <v>9.16</v>
      </c>
      <c r="C72" t="s">
        <v>18</v>
      </c>
      <c r="D72" s="6">
        <f>_xlfn.IFNA(VLOOKUP(A72,'Costo Materia Prima'!$D$3:$I$234,6,FALSE)*B72,0)</f>
        <v>8.1957894736842114</v>
      </c>
    </row>
    <row r="73" spans="1:15" x14ac:dyDescent="0.2">
      <c r="A73" t="s">
        <v>214</v>
      </c>
      <c r="B73" s="12">
        <f>6*0.013</f>
        <v>7.8E-2</v>
      </c>
      <c r="C73" t="s">
        <v>15</v>
      </c>
      <c r="D73" s="6">
        <f>_xlfn.IFNA(VLOOKUP(A73,'Costo Materia Prima'!$D$3:$I$234,6,FALSE)*B73,0)</f>
        <v>55.127592</v>
      </c>
      <c r="F73" t="s">
        <v>760</v>
      </c>
      <c r="G73" s="13">
        <f>[2]INSUMOS!$K$19+[2]INSUMOS!$K$20</f>
        <v>5.875306853780863</v>
      </c>
    </row>
    <row r="74" spans="1:15" x14ac:dyDescent="0.2">
      <c r="A74" t="s">
        <v>151</v>
      </c>
      <c r="B74" s="12">
        <v>2.4E-2</v>
      </c>
      <c r="C74" t="s">
        <v>15</v>
      </c>
      <c r="D74" s="6">
        <f>_xlfn.IFNA(VLOOKUP(A74,'Costo Materia Prima'!$D$3:$I$234,6,FALSE)*B74,0)</f>
        <v>9.7200000000000006</v>
      </c>
    </row>
    <row r="75" spans="1:15" x14ac:dyDescent="0.2">
      <c r="A75" t="s">
        <v>153</v>
      </c>
      <c r="B75">
        <v>0.02</v>
      </c>
      <c r="C75" t="s">
        <v>15</v>
      </c>
      <c r="D75" s="6">
        <f>_xlfn.IFNA(VLOOKUP(A75,'Costo Materia Prima'!$D$3:$I$234,6,FALSE)*B75,0)</f>
        <v>0.78</v>
      </c>
      <c r="G75" s="195"/>
    </row>
    <row r="76" spans="1:15" ht="16" thickBot="1" x14ac:dyDescent="0.25">
      <c r="B76" s="310" t="s">
        <v>344</v>
      </c>
      <c r="C76" s="310"/>
      <c r="D76" s="110">
        <f>SUM(D70:D75)</f>
        <v>114.75938147368421</v>
      </c>
      <c r="G76" s="195"/>
    </row>
    <row r="77" spans="1:15" ht="16" thickTop="1" x14ac:dyDescent="0.2">
      <c r="A77" s="20"/>
      <c r="B77" s="21"/>
      <c r="C77" s="20"/>
    </row>
    <row r="78" spans="1:15" ht="16" thickBot="1" x14ac:dyDescent="0.25">
      <c r="A78" s="313" t="s">
        <v>354</v>
      </c>
      <c r="B78" s="313"/>
      <c r="C78" s="313"/>
      <c r="D78" s="313"/>
    </row>
    <row r="79" spans="1:15" ht="16" thickBot="1" x14ac:dyDescent="0.25">
      <c r="A79" s="7" t="s">
        <v>341</v>
      </c>
      <c r="B79" s="7" t="s">
        <v>4</v>
      </c>
      <c r="C79" s="7" t="s">
        <v>5</v>
      </c>
      <c r="D79" s="7" t="s">
        <v>7</v>
      </c>
      <c r="F79" s="8" t="s">
        <v>342</v>
      </c>
      <c r="G79" s="9">
        <v>10.4</v>
      </c>
      <c r="I79" t="s">
        <v>681</v>
      </c>
      <c r="M79">
        <v>54.45</v>
      </c>
      <c r="N79">
        <v>10.422000000000001</v>
      </c>
      <c r="O79">
        <f>M79*N79</f>
        <v>567.47790000000009</v>
      </c>
    </row>
    <row r="80" spans="1:15" x14ac:dyDescent="0.2">
      <c r="A80" t="s">
        <v>22</v>
      </c>
      <c r="B80" s="12">
        <f>8*0.47</f>
        <v>3.76</v>
      </c>
      <c r="C80" t="s">
        <v>18</v>
      </c>
      <c r="D80" s="6">
        <f>_xlfn.IFNA(VLOOKUP(A80,'Costo Materia Prima'!$D$3:$I$234,6,FALSE)*B80,0)</f>
        <v>219.33333333333334</v>
      </c>
      <c r="E80" s="23">
        <f t="shared" ref="E80:E86" si="1">(B80/$G$79)*1000</f>
        <v>361.53846153846155</v>
      </c>
      <c r="I80">
        <v>1</v>
      </c>
      <c r="J80">
        <v>54.45</v>
      </c>
    </row>
    <row r="81" spans="1:14" x14ac:dyDescent="0.2">
      <c r="A81" t="s">
        <v>311</v>
      </c>
      <c r="B81" s="12">
        <v>0.6</v>
      </c>
      <c r="C81" t="s">
        <v>15</v>
      </c>
      <c r="D81" s="6">
        <f>_xlfn.IFNA(VLOOKUP(A81,'Costo Materia Prima'!$D$3:$I$234,6,FALSE)*B81,0)</f>
        <v>93</v>
      </c>
      <c r="E81" s="23">
        <f t="shared" si="1"/>
        <v>57.692307692307686</v>
      </c>
      <c r="F81" s="4" t="s">
        <v>343</v>
      </c>
      <c r="G81" s="11">
        <f>D87/G79</f>
        <v>65.829925451310331</v>
      </c>
      <c r="I81">
        <v>1.25</v>
      </c>
      <c r="J81" t="s">
        <v>355</v>
      </c>
    </row>
    <row r="82" spans="1:14" x14ac:dyDescent="0.2">
      <c r="A82" t="s">
        <v>276</v>
      </c>
      <c r="B82" s="12">
        <v>3.2</v>
      </c>
      <c r="C82" t="s">
        <v>15</v>
      </c>
      <c r="D82" s="6">
        <f>_xlfn.IFNA(VLOOKUP(A82,'Costo Materia Prima'!$D$3:$I$234,6,FALSE)*B82,0)</f>
        <v>256</v>
      </c>
      <c r="E82" s="23">
        <f t="shared" si="1"/>
        <v>307.69230769230774</v>
      </c>
      <c r="J82">
        <f>I81*J80</f>
        <v>68.0625</v>
      </c>
      <c r="K82">
        <f>J82/(1-0.5)</f>
        <v>136.125</v>
      </c>
      <c r="M82" s="13">
        <f>G81*0.0793</f>
        <v>5.2203130882889086</v>
      </c>
    </row>
    <row r="83" spans="1:14" x14ac:dyDescent="0.2">
      <c r="A83" t="s">
        <v>13</v>
      </c>
      <c r="B83" s="12">
        <v>0.5</v>
      </c>
      <c r="C83" t="s">
        <v>15</v>
      </c>
      <c r="D83" s="6">
        <f>_xlfn.IFNA(VLOOKUP(A83,'Costo Materia Prima'!$D$3:$I$234,6,FALSE)*B83,0)</f>
        <v>10.199999999999999</v>
      </c>
      <c r="E83" s="23">
        <f t="shared" si="1"/>
        <v>48.076923076923073</v>
      </c>
      <c r="F83" t="s">
        <v>760</v>
      </c>
      <c r="G83" s="13">
        <f>[2]INSUMOS!$K$15</f>
        <v>1.2667042069756584</v>
      </c>
    </row>
    <row r="84" spans="1:14" x14ac:dyDescent="0.2">
      <c r="A84" t="s">
        <v>26</v>
      </c>
      <c r="B84" s="12">
        <v>1</v>
      </c>
      <c r="C84" t="s">
        <v>18</v>
      </c>
      <c r="D84" s="6">
        <f>_xlfn.IFNA(VLOOKUP(A84,'Costo Materia Prima'!$D$3:$I$234,6,FALSE)*B84,0)</f>
        <v>19.55</v>
      </c>
      <c r="E84" s="23">
        <f t="shared" si="1"/>
        <v>96.153846153846146</v>
      </c>
      <c r="H84" s="13">
        <f>G81*G79</f>
        <v>684.63122469362747</v>
      </c>
      <c r="I84">
        <v>19</v>
      </c>
      <c r="J84">
        <v>13.3</v>
      </c>
    </row>
    <row r="85" spans="1:14" x14ac:dyDescent="0.2">
      <c r="A85" t="s">
        <v>185</v>
      </c>
      <c r="B85" s="12">
        <v>1.32</v>
      </c>
      <c r="C85" t="s">
        <v>15</v>
      </c>
      <c r="D85" s="6">
        <f>_xlfn.IFNA(VLOOKUP(A85,'Costo Materia Prima'!$D$3:$I$234,6,FALSE)*B85,0)</f>
        <v>82.370588235294122</v>
      </c>
      <c r="E85" s="23">
        <f t="shared" si="1"/>
        <v>126.92307692307692</v>
      </c>
      <c r="F85" t="s">
        <v>682</v>
      </c>
      <c r="G85" s="5">
        <v>142.405</v>
      </c>
      <c r="H85">
        <v>13.3</v>
      </c>
      <c r="I85">
        <v>1</v>
      </c>
      <c r="J85" t="s">
        <v>355</v>
      </c>
      <c r="K85" s="12">
        <f>J84/I84</f>
        <v>0.70000000000000007</v>
      </c>
      <c r="M85">
        <f>K85*19</f>
        <v>13.3</v>
      </c>
    </row>
    <row r="86" spans="1:14" x14ac:dyDescent="0.2">
      <c r="A86" t="s">
        <v>183</v>
      </c>
      <c r="B86" s="12">
        <v>0.06</v>
      </c>
      <c r="C86" t="s">
        <v>18</v>
      </c>
      <c r="D86" s="6">
        <f>_xlfn.IFNA(VLOOKUP(A86,'Costo Materia Prima'!$D$3:$I$234,6,FALSE)*B86,0)</f>
        <v>4.1773031249999999</v>
      </c>
      <c r="E86" s="23">
        <f t="shared" si="1"/>
        <v>5.7692307692307683</v>
      </c>
      <c r="G86" s="13">
        <f>(H85*G81)+(G83*H85)</f>
        <v>892.3851744552037</v>
      </c>
    </row>
    <row r="87" spans="1:14" ht="16" thickBot="1" x14ac:dyDescent="0.25">
      <c r="B87" s="310" t="s">
        <v>344</v>
      </c>
      <c r="C87" s="310"/>
      <c r="D87" s="110">
        <f>SUM(D80:D86)</f>
        <v>684.63122469362747</v>
      </c>
      <c r="G87" s="13">
        <f>G86+G85</f>
        <v>1034.7901744552037</v>
      </c>
      <c r="H87" s="26">
        <v>0.45</v>
      </c>
      <c r="J87" s="5">
        <f>1600*1.16</f>
        <v>1855.9999999999998</v>
      </c>
    </row>
    <row r="88" spans="1:14" ht="16" thickTop="1" x14ac:dyDescent="0.2">
      <c r="G88" s="13">
        <f>G87/(1-H87)</f>
        <v>1881.4366808276429</v>
      </c>
      <c r="H88" s="13">
        <f>G88*1.16</f>
        <v>2182.4665497600658</v>
      </c>
      <c r="I88">
        <f>(G88-G87)/G88</f>
        <v>0.44999999999999996</v>
      </c>
      <c r="J88">
        <f>G87/G88</f>
        <v>0.55000000000000004</v>
      </c>
      <c r="M88">
        <v>1925</v>
      </c>
      <c r="N88" s="13">
        <f>H88-M88</f>
        <v>257.46654976006585</v>
      </c>
    </row>
    <row r="89" spans="1:14" ht="16" thickBot="1" x14ac:dyDescent="0.25">
      <c r="A89" s="313" t="s">
        <v>356</v>
      </c>
      <c r="B89" s="313"/>
      <c r="C89" s="313"/>
      <c r="D89" s="313"/>
      <c r="E89" s="6"/>
    </row>
    <row r="90" spans="1:14" ht="16" thickBot="1" x14ac:dyDescent="0.25">
      <c r="A90" s="7" t="s">
        <v>341</v>
      </c>
      <c r="B90" s="7" t="s">
        <v>4</v>
      </c>
      <c r="C90" s="7" t="s">
        <v>5</v>
      </c>
      <c r="D90" s="7" t="s">
        <v>7</v>
      </c>
      <c r="E90" s="6"/>
      <c r="F90" s="8" t="s">
        <v>342</v>
      </c>
      <c r="G90" s="9">
        <v>9.6940000000000008</v>
      </c>
    </row>
    <row r="91" spans="1:14" x14ac:dyDescent="0.2">
      <c r="A91" t="s">
        <v>311</v>
      </c>
      <c r="B91" s="10">
        <v>1.6</v>
      </c>
      <c r="C91" t="s">
        <v>15</v>
      </c>
      <c r="D91" s="6">
        <f>VLOOKUP(A91,'Costo Materia Prima'!$D$3:$I$234,6,FALSE)*B91</f>
        <v>248</v>
      </c>
      <c r="E91" s="6"/>
    </row>
    <row r="92" spans="1:14" x14ac:dyDescent="0.2">
      <c r="A92" t="s">
        <v>13</v>
      </c>
      <c r="B92" s="10">
        <v>0.5</v>
      </c>
      <c r="C92" t="s">
        <v>15</v>
      </c>
      <c r="D92" s="6">
        <f>VLOOKUP(A92,'Costo Materia Prima'!$D$3:$I$234,6,FALSE)*B92</f>
        <v>10.199999999999999</v>
      </c>
      <c r="E92" s="6"/>
      <c r="F92" s="4" t="s">
        <v>343</v>
      </c>
      <c r="G92" s="11">
        <f>D97/G90</f>
        <v>97.13874512155283</v>
      </c>
    </row>
    <row r="93" spans="1:14" x14ac:dyDescent="0.2">
      <c r="A93" t="s">
        <v>22</v>
      </c>
      <c r="B93" s="10">
        <f>10*0.47</f>
        <v>4.6999999999999993</v>
      </c>
      <c r="C93" t="s">
        <v>18</v>
      </c>
      <c r="D93" s="6">
        <f>VLOOKUP(A93,'Costo Materia Prima'!$D$3:$I$234,6,FALSE)*B93</f>
        <v>274.16666666666663</v>
      </c>
    </row>
    <row r="94" spans="1:14" x14ac:dyDescent="0.2">
      <c r="A94" t="s">
        <v>276</v>
      </c>
      <c r="B94" s="10">
        <v>4</v>
      </c>
      <c r="C94" t="s">
        <v>15</v>
      </c>
      <c r="D94" s="6">
        <f>VLOOKUP(A94,'Costo Materia Prima'!$D$3:$I$234,6,FALSE)*B94</f>
        <v>320</v>
      </c>
      <c r="F94" s="312" t="s">
        <v>357</v>
      </c>
      <c r="G94" s="312"/>
    </row>
    <row r="95" spans="1:14" x14ac:dyDescent="0.2">
      <c r="A95" t="s">
        <v>183</v>
      </c>
      <c r="B95" s="10">
        <v>0.1</v>
      </c>
      <c r="C95" t="s">
        <v>18</v>
      </c>
      <c r="D95" s="6">
        <f>VLOOKUP(A95,'Costo Materia Prima'!$D$3:$I$234,6,FALSE)*B95</f>
        <v>6.9621718750000001</v>
      </c>
      <c r="F95" s="2" t="s">
        <v>90</v>
      </c>
      <c r="G95" s="28">
        <f>(VLOOKUP(F95,'Costo Materia Prima'!$D$3:$I$234,6,FALSE)*0.07)+(G92*1.11)</f>
        <v>129.92414458492365</v>
      </c>
    </row>
    <row r="96" spans="1:14" x14ac:dyDescent="0.2">
      <c r="A96" t="s">
        <v>164</v>
      </c>
      <c r="B96" s="10">
        <v>0.28599999999999998</v>
      </c>
      <c r="C96" t="s">
        <v>15</v>
      </c>
      <c r="D96" s="6">
        <f>VLOOKUP(A96,'Costo Materia Prima'!$D$3:$I$234,6,FALSE)*B96</f>
        <v>82.334156666666658</v>
      </c>
    </row>
    <row r="97" spans="1:7" ht="16" thickBot="1" x14ac:dyDescent="0.25">
      <c r="B97" s="310" t="s">
        <v>344</v>
      </c>
      <c r="C97" s="310"/>
      <c r="D97" s="110">
        <f>SUM(D91:D96)</f>
        <v>941.6629952083332</v>
      </c>
    </row>
    <row r="98" spans="1:7" ht="16" thickTop="1" x14ac:dyDescent="0.2"/>
    <row r="99" spans="1:7" ht="16" thickBot="1" x14ac:dyDescent="0.25">
      <c r="A99" s="313" t="s">
        <v>358</v>
      </c>
      <c r="B99" s="313"/>
      <c r="C99" s="313"/>
      <c r="D99" s="313"/>
    </row>
    <row r="100" spans="1:7" ht="16" thickBot="1" x14ac:dyDescent="0.25">
      <c r="A100" s="7" t="s">
        <v>341</v>
      </c>
      <c r="B100" s="7" t="s">
        <v>4</v>
      </c>
      <c r="C100" s="7" t="s">
        <v>5</v>
      </c>
      <c r="D100" s="7" t="s">
        <v>7</v>
      </c>
      <c r="F100" s="8" t="s">
        <v>342</v>
      </c>
      <c r="G100" s="9">
        <v>0.746</v>
      </c>
    </row>
    <row r="101" spans="1:7" x14ac:dyDescent="0.2">
      <c r="A101" t="s">
        <v>313</v>
      </c>
      <c r="B101">
        <v>0.09</v>
      </c>
      <c r="C101" t="s">
        <v>15</v>
      </c>
      <c r="D101" s="6">
        <f>VLOOKUP(A101,'Costo Materia Prima'!$D$3:$I$234,6,FALSE)*B101</f>
        <v>15.749927999999997</v>
      </c>
    </row>
    <row r="102" spans="1:7" x14ac:dyDescent="0.2">
      <c r="A102" t="s">
        <v>325</v>
      </c>
      <c r="B102">
        <v>0.02</v>
      </c>
      <c r="C102" t="s">
        <v>15</v>
      </c>
      <c r="D102" s="6">
        <f>VLOOKUP(A102,'Costo Materia Prima'!$D$3:$I$234,6,FALSE)*B102</f>
        <v>1.3149999999999999</v>
      </c>
      <c r="F102" s="4" t="s">
        <v>343</v>
      </c>
      <c r="G102" s="11">
        <f>D107/G100</f>
        <v>78.144801738057495</v>
      </c>
    </row>
    <row r="103" spans="1:7" x14ac:dyDescent="0.2">
      <c r="A103" t="s">
        <v>317</v>
      </c>
      <c r="B103">
        <v>6.5000000000000002E-2</v>
      </c>
      <c r="C103" t="s">
        <v>15</v>
      </c>
      <c r="D103" s="6">
        <f>VLOOKUP(A103,'Costo Materia Prima'!$D$3:$I$234,6,FALSE)*B103</f>
        <v>15.795</v>
      </c>
    </row>
    <row r="104" spans="1:7" x14ac:dyDescent="0.2">
      <c r="A104" t="s">
        <v>95</v>
      </c>
      <c r="B104">
        <v>0.48</v>
      </c>
      <c r="C104" t="s">
        <v>15</v>
      </c>
      <c r="D104" s="6">
        <f>VLOOKUP(A104,'Costo Materia Prima'!$D$3:$I$234,6,FALSE)*B104</f>
        <v>16.161826909090905</v>
      </c>
    </row>
    <row r="105" spans="1:7" x14ac:dyDescent="0.2">
      <c r="A105" t="s">
        <v>183</v>
      </c>
      <c r="B105">
        <v>0.01</v>
      </c>
      <c r="C105" t="s">
        <v>18</v>
      </c>
      <c r="D105" s="6">
        <f>VLOOKUP(A105,'Costo Materia Prima'!$D$3:$I$234,6,FALSE)*B105</f>
        <v>0.69621718750000006</v>
      </c>
    </row>
    <row r="106" spans="1:7" x14ac:dyDescent="0.2">
      <c r="A106" t="s">
        <v>187</v>
      </c>
      <c r="B106">
        <v>0.15</v>
      </c>
      <c r="C106" t="s">
        <v>18</v>
      </c>
      <c r="D106" s="6">
        <f>VLOOKUP(A106,'Costo Materia Prima'!$D$3:$I$234,6,FALSE)*B106</f>
        <v>8.5780499999999993</v>
      </c>
    </row>
    <row r="107" spans="1:7" ht="16" thickBot="1" x14ac:dyDescent="0.25">
      <c r="D107" s="110">
        <f>SUM(D101:D106)</f>
        <v>58.296022096590896</v>
      </c>
    </row>
    <row r="108" spans="1:7" ht="16" thickTop="1" x14ac:dyDescent="0.2"/>
    <row r="109" spans="1:7" ht="16" thickBot="1" x14ac:dyDescent="0.25">
      <c r="A109" s="313" t="s">
        <v>359</v>
      </c>
      <c r="B109" s="313"/>
      <c r="C109" s="313"/>
      <c r="D109" s="313"/>
      <c r="E109" s="6"/>
    </row>
    <row r="110" spans="1:7" ht="16" thickBot="1" x14ac:dyDescent="0.25">
      <c r="A110" s="7" t="s">
        <v>341</v>
      </c>
      <c r="B110" s="7" t="s">
        <v>4</v>
      </c>
      <c r="C110" s="7" t="s">
        <v>5</v>
      </c>
      <c r="D110" s="7" t="s">
        <v>7</v>
      </c>
      <c r="E110" s="6"/>
      <c r="F110" s="8" t="s">
        <v>342</v>
      </c>
      <c r="G110" s="16">
        <v>20</v>
      </c>
    </row>
    <row r="111" spans="1:7" x14ac:dyDescent="0.2">
      <c r="A111" t="s">
        <v>185</v>
      </c>
      <c r="B111" s="10">
        <f>1.32*4</f>
        <v>5.28</v>
      </c>
      <c r="C111" t="s">
        <v>15</v>
      </c>
      <c r="D111" s="6">
        <f>VLOOKUP(A111,'Costo Materia Prima'!$D$3:$I$234,6,FALSE)*B111</f>
        <v>329.48235294117649</v>
      </c>
      <c r="E111" s="23">
        <f>(B111/$G$110)*1000</f>
        <v>264</v>
      </c>
    </row>
    <row r="112" spans="1:7" x14ac:dyDescent="0.2">
      <c r="A112" t="s">
        <v>187</v>
      </c>
      <c r="B112" s="10">
        <v>4</v>
      </c>
      <c r="C112" t="s">
        <v>18</v>
      </c>
      <c r="D112" s="6">
        <f>VLOOKUP(A112,'Costo Materia Prima'!$D$3:$I$234,6,FALSE)*B112</f>
        <v>228.74799999999999</v>
      </c>
      <c r="E112" s="23">
        <f t="shared" ref="E112:E115" si="2">(B112/$G$110)*1000</f>
        <v>200</v>
      </c>
      <c r="F112" s="4" t="s">
        <v>348</v>
      </c>
      <c r="G112" s="11">
        <f>D116/G110</f>
        <v>63.842399287683826</v>
      </c>
    </row>
    <row r="113" spans="1:7" x14ac:dyDescent="0.2">
      <c r="A113" t="s">
        <v>26</v>
      </c>
      <c r="B113" s="10">
        <v>12</v>
      </c>
      <c r="C113" t="s">
        <v>18</v>
      </c>
      <c r="D113" s="6">
        <f>VLOOKUP(A113,'Costo Materia Prima'!$D$3:$I$234,6,FALSE)*B113</f>
        <v>234.60000000000002</v>
      </c>
      <c r="E113" s="23">
        <f t="shared" si="2"/>
        <v>600</v>
      </c>
    </row>
    <row r="114" spans="1:7" x14ac:dyDescent="0.2">
      <c r="A114" t="s">
        <v>183</v>
      </c>
      <c r="B114" s="10">
        <v>0.15</v>
      </c>
      <c r="C114" t="s">
        <v>18</v>
      </c>
      <c r="D114" s="6">
        <f>VLOOKUP(A114,'Costo Materia Prima'!$D$3:$I$234,6,FALSE)*B114</f>
        <v>10.443257812499999</v>
      </c>
      <c r="E114" s="23">
        <f t="shared" si="2"/>
        <v>7.5</v>
      </c>
    </row>
    <row r="115" spans="1:7" x14ac:dyDescent="0.2">
      <c r="A115" t="s">
        <v>90</v>
      </c>
      <c r="B115">
        <v>1.5</v>
      </c>
      <c r="C115" t="s">
        <v>15</v>
      </c>
      <c r="D115" s="6">
        <f>VLOOKUP(A115,'Costo Materia Prima'!$D$3:$I$234,6,FALSE)*B115</f>
        <v>473.57437500000003</v>
      </c>
      <c r="E115" s="23">
        <f t="shared" si="2"/>
        <v>75</v>
      </c>
    </row>
    <row r="116" spans="1:7" ht="16" thickBot="1" x14ac:dyDescent="0.25">
      <c r="B116" s="310" t="s">
        <v>344</v>
      </c>
      <c r="C116" s="310"/>
      <c r="D116" s="116">
        <f>SUM(D111:D115)</f>
        <v>1276.8479857536765</v>
      </c>
    </row>
    <row r="117" spans="1:7" ht="16" thickTop="1" x14ac:dyDescent="0.2"/>
    <row r="118" spans="1:7" ht="16" thickBot="1" x14ac:dyDescent="0.25">
      <c r="A118" s="316" t="s">
        <v>607</v>
      </c>
      <c r="B118" s="316"/>
      <c r="C118" s="316"/>
      <c r="D118" s="316"/>
    </row>
    <row r="119" spans="1:7" ht="16" thickBot="1" x14ac:dyDescent="0.25">
      <c r="A119" s="7" t="s">
        <v>341</v>
      </c>
      <c r="B119" s="7" t="s">
        <v>4</v>
      </c>
      <c r="C119" s="7" t="s">
        <v>5</v>
      </c>
      <c r="D119" s="7" t="s">
        <v>7</v>
      </c>
      <c r="E119" s="6"/>
      <c r="F119" s="8" t="s">
        <v>342</v>
      </c>
      <c r="G119" s="9">
        <v>5.9059999999999997</v>
      </c>
    </row>
    <row r="120" spans="1:7" x14ac:dyDescent="0.2">
      <c r="A120" s="193" t="s">
        <v>604</v>
      </c>
      <c r="B120" s="165">
        <v>5.4</v>
      </c>
      <c r="C120" t="s">
        <v>15</v>
      </c>
      <c r="D120" s="6">
        <f>VLOOKUP(A120,'Costo Materia Prima'!$D$3:$I$234,6,FALSE)*B120</f>
        <v>648</v>
      </c>
    </row>
    <row r="121" spans="1:7" x14ac:dyDescent="0.2">
      <c r="A121" t="s">
        <v>13</v>
      </c>
      <c r="B121" s="165">
        <v>2.1</v>
      </c>
      <c r="C121" t="s">
        <v>15</v>
      </c>
      <c r="D121" s="6">
        <f>VLOOKUP(A121,'Costo Materia Prima'!$D$3:$I$234,6,FALSE)*B121</f>
        <v>42.839999999999996</v>
      </c>
      <c r="F121" s="4" t="s">
        <v>343</v>
      </c>
      <c r="G121" s="11">
        <f>D123/G119</f>
        <v>117.02221084875166</v>
      </c>
    </row>
    <row r="122" spans="1:7" x14ac:dyDescent="0.2">
      <c r="A122" t="s">
        <v>279</v>
      </c>
      <c r="B122" s="165">
        <v>1E-3</v>
      </c>
      <c r="C122" t="s">
        <v>15</v>
      </c>
      <c r="D122" s="6">
        <f>VLOOKUP(A122,'Costo Materia Prima'!$D$3:$I$234,6,FALSE)*B122</f>
        <v>0.29317727272727268</v>
      </c>
    </row>
    <row r="123" spans="1:7" ht="16" thickBot="1" x14ac:dyDescent="0.25">
      <c r="B123" s="310" t="s">
        <v>344</v>
      </c>
      <c r="C123" s="310"/>
      <c r="D123" s="116">
        <f>SUM(D118:D122)</f>
        <v>691.13317727272727</v>
      </c>
    </row>
    <row r="124" spans="1:7" ht="16" thickTop="1" x14ac:dyDescent="0.2"/>
    <row r="125" spans="1:7" ht="16" thickBot="1" x14ac:dyDescent="0.25">
      <c r="A125" s="313" t="s">
        <v>612</v>
      </c>
      <c r="B125" s="313"/>
      <c r="C125" s="313"/>
      <c r="D125" s="313"/>
    </row>
    <row r="126" spans="1:7" ht="16" thickBot="1" x14ac:dyDescent="0.25">
      <c r="A126" s="7" t="s">
        <v>341</v>
      </c>
      <c r="B126" s="7" t="s">
        <v>4</v>
      </c>
      <c r="C126" s="7" t="s">
        <v>5</v>
      </c>
      <c r="D126" s="7" t="s">
        <v>7</v>
      </c>
      <c r="F126" s="8" t="s">
        <v>342</v>
      </c>
      <c r="G126" s="9">
        <v>14.82</v>
      </c>
    </row>
    <row r="127" spans="1:7" x14ac:dyDescent="0.2">
      <c r="A127" t="s">
        <v>313</v>
      </c>
      <c r="B127">
        <v>1.84</v>
      </c>
      <c r="C127" t="s">
        <v>15</v>
      </c>
      <c r="D127" s="6">
        <f>VLOOKUP(A127,'Costo Materia Prima'!$D$3:$I$234,6,FALSE)*B127</f>
        <v>321.99852799999996</v>
      </c>
    </row>
    <row r="128" spans="1:7" x14ac:dyDescent="0.2">
      <c r="A128" t="s">
        <v>311</v>
      </c>
      <c r="B128">
        <v>3.68</v>
      </c>
      <c r="C128" t="s">
        <v>15</v>
      </c>
      <c r="D128" s="6">
        <f>VLOOKUP(A128,'Costo Materia Prima'!$D$3:$I$234,6,FALSE)*B128</f>
        <v>570.4</v>
      </c>
      <c r="F128" s="4" t="s">
        <v>343</v>
      </c>
      <c r="G128" s="11">
        <f>D132/G126</f>
        <v>86.329173110661259</v>
      </c>
    </row>
    <row r="129" spans="1:8" x14ac:dyDescent="0.2">
      <c r="A129" t="s">
        <v>317</v>
      </c>
      <c r="B129">
        <v>0.96</v>
      </c>
      <c r="C129" t="s">
        <v>15</v>
      </c>
      <c r="D129" s="6">
        <f>VLOOKUP(A129,'Costo Materia Prima'!$D$3:$I$234,6,FALSE)*B129</f>
        <v>233.28</v>
      </c>
    </row>
    <row r="130" spans="1:8" x14ac:dyDescent="0.2">
      <c r="A130" t="s">
        <v>95</v>
      </c>
      <c r="B130">
        <v>4.4000000000000004</v>
      </c>
      <c r="C130" t="s">
        <v>15</v>
      </c>
      <c r="D130" s="6">
        <f>VLOOKUP(A130,'Costo Materia Prima'!$D$3:$I$234,6,FALSE)*B130</f>
        <v>148.15008</v>
      </c>
    </row>
    <row r="131" spans="1:8" x14ac:dyDescent="0.2">
      <c r="A131" t="s">
        <v>183</v>
      </c>
      <c r="B131">
        <v>0.08</v>
      </c>
      <c r="C131" t="s">
        <v>18</v>
      </c>
      <c r="D131" s="6">
        <f>VLOOKUP(A131,'Costo Materia Prima'!$D$3:$I$234,6,FALSE)*B131</f>
        <v>5.5697375000000005</v>
      </c>
    </row>
    <row r="132" spans="1:8" ht="16" thickBot="1" x14ac:dyDescent="0.25">
      <c r="D132" s="110">
        <f>SUM(D127:D131)</f>
        <v>1279.3983454999998</v>
      </c>
    </row>
    <row r="133" spans="1:8" ht="16" thickTop="1" x14ac:dyDescent="0.2"/>
    <row r="134" spans="1:8" ht="16" thickBot="1" x14ac:dyDescent="0.25">
      <c r="A134" s="313" t="s">
        <v>626</v>
      </c>
      <c r="B134" s="313"/>
      <c r="C134" s="313"/>
      <c r="D134" s="313"/>
      <c r="E134" s="6"/>
    </row>
    <row r="135" spans="1:8" ht="16" thickBot="1" x14ac:dyDescent="0.25">
      <c r="A135" s="7" t="s">
        <v>341</v>
      </c>
      <c r="B135" s="7" t="s">
        <v>4</v>
      </c>
      <c r="C135" s="7" t="s">
        <v>5</v>
      </c>
      <c r="D135" s="7" t="s">
        <v>7</v>
      </c>
      <c r="E135" s="20"/>
      <c r="F135" s="8" t="s">
        <v>342</v>
      </c>
      <c r="G135" s="9">
        <f>9.694-0.268</f>
        <v>9.4260000000000002</v>
      </c>
    </row>
    <row r="136" spans="1:8" x14ac:dyDescent="0.2">
      <c r="A136" t="s">
        <v>311</v>
      </c>
      <c r="B136" s="10">
        <v>1.6</v>
      </c>
      <c r="C136" t="s">
        <v>15</v>
      </c>
      <c r="D136" s="6">
        <f>VLOOKUP(A136,'Costo Materia Prima'!$D$3:$I$234,6,FALSE)*B136</f>
        <v>248</v>
      </c>
      <c r="E136" s="23">
        <f>(B136/$G$135)*1000</f>
        <v>169.74326331423723</v>
      </c>
    </row>
    <row r="137" spans="1:8" x14ac:dyDescent="0.2">
      <c r="A137" t="s">
        <v>13</v>
      </c>
      <c r="B137" s="10">
        <v>0.5</v>
      </c>
      <c r="C137" t="s">
        <v>15</v>
      </c>
      <c r="D137" s="6">
        <f>VLOOKUP(A137,'Costo Materia Prima'!$D$3:$I$234,6,FALSE)*B137</f>
        <v>10.199999999999999</v>
      </c>
      <c r="E137" s="23">
        <f>(B137/$G$135)*1000</f>
        <v>53.044769785699131</v>
      </c>
      <c r="F137" s="4" t="s">
        <v>343</v>
      </c>
      <c r="G137" s="11">
        <f>D141/G135</f>
        <v>91.16580082130983</v>
      </c>
    </row>
    <row r="138" spans="1:8" x14ac:dyDescent="0.2">
      <c r="A138" t="s">
        <v>22</v>
      </c>
      <c r="B138" s="10">
        <f>10*0.47</f>
        <v>4.6999999999999993</v>
      </c>
      <c r="C138" t="s">
        <v>18</v>
      </c>
      <c r="D138" s="6">
        <f>VLOOKUP(A138,'Costo Materia Prima'!$D$3:$I$234,6,FALSE)*B138</f>
        <v>274.16666666666663</v>
      </c>
      <c r="E138" s="23">
        <f>(B138/$G$135)*1000</f>
        <v>498.62083598557172</v>
      </c>
    </row>
    <row r="139" spans="1:8" x14ac:dyDescent="0.2">
      <c r="A139" t="s">
        <v>276</v>
      </c>
      <c r="B139" s="10">
        <v>4</v>
      </c>
      <c r="C139" t="s">
        <v>15</v>
      </c>
      <c r="D139" s="6">
        <f>VLOOKUP(A139,'Costo Materia Prima'!$D$3:$I$234,6,FALSE)*B139</f>
        <v>320</v>
      </c>
      <c r="E139" s="23">
        <f>(B139/$G$135)*1000</f>
        <v>424.35815828559305</v>
      </c>
      <c r="F139" t="s">
        <v>760</v>
      </c>
      <c r="G139" s="13">
        <f>[2]INSUMOS!$K$14</f>
        <v>1.092475834023773</v>
      </c>
    </row>
    <row r="140" spans="1:8" x14ac:dyDescent="0.2">
      <c r="A140" t="s">
        <v>183</v>
      </c>
      <c r="B140" s="10">
        <v>0.1</v>
      </c>
      <c r="C140" t="s">
        <v>18</v>
      </c>
      <c r="D140" s="6">
        <f>VLOOKUP(A140,'Costo Materia Prima'!$D$3:$I$234,6,FALSE)*B140</f>
        <v>6.9621718750000001</v>
      </c>
      <c r="E140" s="23">
        <f>(B140/$G$135)*1000</f>
        <v>10.608953957139827</v>
      </c>
    </row>
    <row r="141" spans="1:8" ht="16" thickBot="1" x14ac:dyDescent="0.25">
      <c r="B141" s="310" t="s">
        <v>344</v>
      </c>
      <c r="C141" s="310"/>
      <c r="D141" s="116">
        <f>SUM(D136:D140)</f>
        <v>859.32883854166653</v>
      </c>
    </row>
    <row r="142" spans="1:8" ht="16" thickTop="1" x14ac:dyDescent="0.2"/>
    <row r="143" spans="1:8" ht="16" thickBot="1" x14ac:dyDescent="0.25">
      <c r="A143" s="313" t="s">
        <v>629</v>
      </c>
      <c r="B143" s="313"/>
      <c r="C143" s="313"/>
      <c r="D143" s="313"/>
      <c r="E143" s="6"/>
    </row>
    <row r="144" spans="1:8" ht="16" thickBot="1" x14ac:dyDescent="0.25">
      <c r="A144" s="7" t="s">
        <v>341</v>
      </c>
      <c r="B144" s="7" t="s">
        <v>4</v>
      </c>
      <c r="C144" s="7" t="s">
        <v>5</v>
      </c>
      <c r="D144" s="7" t="s">
        <v>7</v>
      </c>
      <c r="E144" s="6"/>
      <c r="F144" s="8" t="s">
        <v>342</v>
      </c>
      <c r="G144" s="9">
        <v>0.372</v>
      </c>
      <c r="H144">
        <v>1</v>
      </c>
    </row>
    <row r="145" spans="1:7" x14ac:dyDescent="0.2">
      <c r="A145" t="s">
        <v>630</v>
      </c>
      <c r="B145" s="10">
        <f>(3*0.03)+(16*0.03)</f>
        <v>0.56999999999999995</v>
      </c>
      <c r="C145" t="s">
        <v>15</v>
      </c>
      <c r="D145" s="6">
        <f>VLOOKUP(A145,'Costo Materia Prima'!$D$3:$I$234,6,FALSE)*B145</f>
        <v>15.389999999999999</v>
      </c>
      <c r="E145" s="23">
        <f>(B145/$G$144)*1000</f>
        <v>1532.258064516129</v>
      </c>
    </row>
    <row r="146" spans="1:7" x14ac:dyDescent="0.2">
      <c r="A146" t="s">
        <v>13</v>
      </c>
      <c r="B146" s="10">
        <v>0.12</v>
      </c>
      <c r="C146" t="s">
        <v>15</v>
      </c>
      <c r="D146" s="6">
        <f>VLOOKUP(A146,'Costo Materia Prima'!$D$3:$I$234,6,FALSE)*B146</f>
        <v>2.448</v>
      </c>
      <c r="E146" s="23">
        <f>(B146/$G$144)*1000</f>
        <v>322.58064516129031</v>
      </c>
      <c r="F146" s="4" t="s">
        <v>343</v>
      </c>
      <c r="G146" s="11">
        <f>D150/G144</f>
        <v>144.83833333333331</v>
      </c>
    </row>
    <row r="147" spans="1:7" x14ac:dyDescent="0.2">
      <c r="A147" t="s">
        <v>132</v>
      </c>
      <c r="B147" s="10">
        <v>3</v>
      </c>
      <c r="C147" t="s">
        <v>18</v>
      </c>
      <c r="D147" s="6">
        <f>VLOOKUP(A147,'Costo Materia Prima'!$D$3:$I$234,6,FALSE)*B147</f>
        <v>5.4169999999999998</v>
      </c>
      <c r="E147" s="23">
        <f>(B147/$G$144)*1000</f>
        <v>8064.5161290322576</v>
      </c>
    </row>
    <row r="148" spans="1:7" x14ac:dyDescent="0.2">
      <c r="A148" t="s">
        <v>313</v>
      </c>
      <c r="B148" s="10">
        <v>0.17499999999999999</v>
      </c>
      <c r="C148" t="s">
        <v>15</v>
      </c>
      <c r="D148" s="6">
        <f>VLOOKUP(A148,'Costo Materia Prima'!$D$3:$I$234,6,FALSE)*B148</f>
        <v>30.624859999999995</v>
      </c>
      <c r="E148" s="23">
        <f>(B148/$G$144)*1000</f>
        <v>470.43010752688167</v>
      </c>
    </row>
    <row r="149" spans="1:7" x14ac:dyDescent="0.2">
      <c r="B149" s="10"/>
      <c r="D149" s="6"/>
      <c r="E149" s="23"/>
    </row>
    <row r="150" spans="1:7" ht="16" thickBot="1" x14ac:dyDescent="0.25">
      <c r="B150" s="310" t="s">
        <v>344</v>
      </c>
      <c r="C150" s="310"/>
      <c r="D150" s="116">
        <f>SUM(D145:D149)</f>
        <v>53.879859999999994</v>
      </c>
    </row>
    <row r="151" spans="1:7" ht="16" thickTop="1" x14ac:dyDescent="0.2"/>
    <row r="152" spans="1:7" ht="16" thickBot="1" x14ac:dyDescent="0.25">
      <c r="A152" s="313" t="s">
        <v>684</v>
      </c>
      <c r="B152" s="313"/>
      <c r="C152" s="313"/>
      <c r="D152" s="313"/>
      <c r="E152" s="6"/>
    </row>
    <row r="153" spans="1:7" ht="16" thickBot="1" x14ac:dyDescent="0.25">
      <c r="A153" s="7" t="s">
        <v>341</v>
      </c>
      <c r="B153" s="7" t="s">
        <v>4</v>
      </c>
      <c r="C153" s="7" t="s">
        <v>5</v>
      </c>
      <c r="D153" s="7" t="s">
        <v>7</v>
      </c>
      <c r="E153" s="20" t="s">
        <v>689</v>
      </c>
      <c r="F153" s="8" t="s">
        <v>342</v>
      </c>
      <c r="G153" s="9">
        <v>0.83499999999999996</v>
      </c>
    </row>
    <row r="154" spans="1:7" x14ac:dyDescent="0.2">
      <c r="A154" t="s">
        <v>311</v>
      </c>
      <c r="B154" s="10">
        <v>0.5</v>
      </c>
      <c r="C154" t="s">
        <v>15</v>
      </c>
      <c r="D154" s="6">
        <f>VLOOKUP(A154,'Costo Materia Prima'!$D$3:$I$234,6,FALSE)*B154</f>
        <v>77.5</v>
      </c>
      <c r="E154" s="23">
        <f>(B154/$G$153)*1000</f>
        <v>598.80239520958094</v>
      </c>
    </row>
    <row r="155" spans="1:7" x14ac:dyDescent="0.2">
      <c r="A155" t="s">
        <v>313</v>
      </c>
      <c r="B155" s="10">
        <v>0.09</v>
      </c>
      <c r="C155" t="s">
        <v>15</v>
      </c>
      <c r="D155" s="6">
        <f>VLOOKUP(A155,'Costo Materia Prima'!$D$3:$I$234,6,FALSE)*B155</f>
        <v>15.749927999999997</v>
      </c>
      <c r="E155" s="23">
        <f t="shared" ref="E155:E156" si="3">(B155/$G$153)*1000</f>
        <v>107.78443113772455</v>
      </c>
      <c r="F155" s="4" t="s">
        <v>343</v>
      </c>
      <c r="G155" s="11">
        <f>D158/G153</f>
        <v>122.72760021774633</v>
      </c>
    </row>
    <row r="156" spans="1:7" x14ac:dyDescent="0.2">
      <c r="A156" t="s">
        <v>95</v>
      </c>
      <c r="B156" s="10">
        <v>0.25</v>
      </c>
      <c r="C156" t="s">
        <v>15</v>
      </c>
      <c r="D156" s="6">
        <f>VLOOKUP(A156,'Costo Materia Prima'!$D$3:$I$234,6,FALSE)*B156</f>
        <v>8.417618181818181</v>
      </c>
      <c r="E156" s="23">
        <f t="shared" si="3"/>
        <v>299.40119760479047</v>
      </c>
    </row>
    <row r="157" spans="1:7" x14ac:dyDescent="0.2">
      <c r="A157" t="s">
        <v>630</v>
      </c>
      <c r="B157" s="10">
        <f>1*0.03</f>
        <v>0.03</v>
      </c>
      <c r="C157" t="s">
        <v>15</v>
      </c>
      <c r="D157" s="6">
        <f>VLOOKUP(A157,'Costo Materia Prima'!$D$3:$I$234,6,FALSE)*B157</f>
        <v>0.80999999999999994</v>
      </c>
      <c r="E157" s="23">
        <f>(B157/$G$153)*1000</f>
        <v>35.928143712574851</v>
      </c>
    </row>
    <row r="158" spans="1:7" ht="16" thickBot="1" x14ac:dyDescent="0.25">
      <c r="B158" s="310" t="s">
        <v>344</v>
      </c>
      <c r="C158" s="310"/>
      <c r="D158" s="116">
        <f>SUM(D154:D157)</f>
        <v>102.47754618181818</v>
      </c>
    </row>
    <row r="159" spans="1:7" ht="16" thickTop="1" x14ac:dyDescent="0.2"/>
    <row r="160" spans="1:7" ht="16" thickBot="1" x14ac:dyDescent="0.25">
      <c r="A160" s="313" t="s">
        <v>685</v>
      </c>
      <c r="B160" s="313"/>
      <c r="C160" s="313"/>
      <c r="D160" s="313"/>
      <c r="E160" s="6"/>
    </row>
    <row r="161" spans="1:7" ht="16" thickBot="1" x14ac:dyDescent="0.25">
      <c r="A161" s="7" t="s">
        <v>341</v>
      </c>
      <c r="B161" s="7" t="s">
        <v>4</v>
      </c>
      <c r="C161" s="7" t="s">
        <v>5</v>
      </c>
      <c r="D161" s="7" t="s">
        <v>7</v>
      </c>
      <c r="E161" s="6"/>
      <c r="F161" s="8" t="s">
        <v>342</v>
      </c>
      <c r="G161" s="9">
        <v>0.16200000000000001</v>
      </c>
    </row>
    <row r="162" spans="1:7" x14ac:dyDescent="0.2">
      <c r="A162" t="s">
        <v>313</v>
      </c>
      <c r="B162" s="10">
        <v>0.03</v>
      </c>
      <c r="C162" t="s">
        <v>15</v>
      </c>
      <c r="D162" s="6">
        <f>VLOOKUP(A162,'Costo Materia Prima'!$D$3:$I$234,6,FALSE)*B162</f>
        <v>5.2499759999999993</v>
      </c>
      <c r="E162" s="10"/>
    </row>
    <row r="163" spans="1:7" x14ac:dyDescent="0.2">
      <c r="A163" t="s">
        <v>124</v>
      </c>
      <c r="B163" s="10">
        <v>0.11</v>
      </c>
      <c r="C163" t="s">
        <v>15</v>
      </c>
      <c r="D163" s="6">
        <f>VLOOKUP(A163,'Costo Materia Prima'!$D$3:$I$234,6,FALSE)*B163</f>
        <v>5.6979999999999995</v>
      </c>
      <c r="E163" s="10"/>
      <c r="F163" s="4" t="s">
        <v>343</v>
      </c>
      <c r="G163" s="11">
        <f>D166/G161</f>
        <v>73.483521885521867</v>
      </c>
    </row>
    <row r="164" spans="1:7" x14ac:dyDescent="0.2">
      <c r="A164" t="s">
        <v>279</v>
      </c>
      <c r="B164" s="10">
        <v>2E-3</v>
      </c>
      <c r="C164" t="s">
        <v>15</v>
      </c>
      <c r="D164" s="6">
        <f>VLOOKUP(A164,'Costo Materia Prima'!$D$3:$I$234,6,FALSE)*B164</f>
        <v>0.58635454545454535</v>
      </c>
      <c r="E164" s="10"/>
    </row>
    <row r="165" spans="1:7" x14ac:dyDescent="0.2">
      <c r="A165" t="s">
        <v>230</v>
      </c>
      <c r="B165" s="10">
        <v>0.02</v>
      </c>
      <c r="C165" t="s">
        <v>15</v>
      </c>
      <c r="D165" s="6">
        <f>VLOOKUP(A165,'Costo Materia Prima'!$D$3:$I$234,6,FALSE)*B165</f>
        <v>0.37</v>
      </c>
      <c r="E165" s="10"/>
    </row>
    <row r="166" spans="1:7" ht="16" thickBot="1" x14ac:dyDescent="0.25">
      <c r="B166" s="310" t="s">
        <v>344</v>
      </c>
      <c r="C166" s="310"/>
      <c r="D166" s="116">
        <f>SUM(D162:D165)</f>
        <v>11.904330545454544</v>
      </c>
    </row>
    <row r="167" spans="1:7" ht="16" thickTop="1" x14ac:dyDescent="0.2"/>
    <row r="168" spans="1:7" ht="16" thickBot="1" x14ac:dyDescent="0.25">
      <c r="A168" s="313" t="s">
        <v>90</v>
      </c>
      <c r="B168" s="313"/>
      <c r="C168" s="313"/>
      <c r="D168" s="313"/>
      <c r="E168" s="6"/>
    </row>
    <row r="169" spans="1:7" ht="16" thickBot="1" x14ac:dyDescent="0.25">
      <c r="A169" s="7" t="s">
        <v>341</v>
      </c>
      <c r="B169" s="7" t="s">
        <v>4</v>
      </c>
      <c r="C169" s="7" t="s">
        <v>5</v>
      </c>
      <c r="D169" s="7" t="s">
        <v>7</v>
      </c>
      <c r="E169" s="6"/>
      <c r="F169" s="8" t="s">
        <v>342</v>
      </c>
      <c r="G169" s="9">
        <v>0.16200000000000001</v>
      </c>
    </row>
    <row r="170" spans="1:7" x14ac:dyDescent="0.2">
      <c r="A170" t="s">
        <v>323</v>
      </c>
      <c r="B170" s="10">
        <v>0.1</v>
      </c>
      <c r="C170" t="s">
        <v>15</v>
      </c>
      <c r="D170" s="6">
        <f>VLOOKUP(A170,'Costo Materia Prima'!$D$3:$I$234,6,FALSE)*B170</f>
        <v>25.257466666666669</v>
      </c>
      <c r="E170" s="10"/>
    </row>
    <row r="171" spans="1:7" x14ac:dyDescent="0.2">
      <c r="A171" t="s">
        <v>87</v>
      </c>
      <c r="B171" s="10">
        <v>0.1</v>
      </c>
      <c r="C171" t="s">
        <v>15</v>
      </c>
      <c r="D171" s="6">
        <f>VLOOKUP(A171,'Costo Materia Prima'!$D$3:$I$234,6,FALSE)*B171</f>
        <v>32.482666666666667</v>
      </c>
      <c r="E171" s="10"/>
      <c r="F171" s="4" t="s">
        <v>343</v>
      </c>
      <c r="G171" s="11">
        <f>D173/G169</f>
        <v>392.42880658436212</v>
      </c>
    </row>
    <row r="172" spans="1:7" x14ac:dyDescent="0.2">
      <c r="A172" t="s">
        <v>22</v>
      </c>
      <c r="B172" s="10">
        <v>0.1</v>
      </c>
      <c r="C172" t="s">
        <v>15</v>
      </c>
      <c r="D172" s="6">
        <f>VLOOKUP(A172,'Costo Materia Prima'!$D$3:$I$234,6,FALSE)*B172</f>
        <v>5.8333333333333339</v>
      </c>
      <c r="E172" s="10"/>
    </row>
    <row r="173" spans="1:7" ht="16" thickBot="1" x14ac:dyDescent="0.25">
      <c r="B173" s="310" t="s">
        <v>344</v>
      </c>
      <c r="C173" s="310"/>
      <c r="D173" s="116">
        <f>SUM(D170:D172)</f>
        <v>63.573466666666668</v>
      </c>
    </row>
    <row r="174" spans="1:7" ht="16" thickTop="1" x14ac:dyDescent="0.2"/>
  </sheetData>
  <mergeCells count="41">
    <mergeCell ref="A168:D168"/>
    <mergeCell ref="B173:C173"/>
    <mergeCell ref="A152:D152"/>
    <mergeCell ref="B158:C158"/>
    <mergeCell ref="A160:D160"/>
    <mergeCell ref="B166:C166"/>
    <mergeCell ref="A134:D134"/>
    <mergeCell ref="B141:C141"/>
    <mergeCell ref="A143:D143"/>
    <mergeCell ref="B150:C150"/>
    <mergeCell ref="B123:C123"/>
    <mergeCell ref="A125:D125"/>
    <mergeCell ref="A68:D68"/>
    <mergeCell ref="B52:C52"/>
    <mergeCell ref="B66:C66"/>
    <mergeCell ref="A109:D109"/>
    <mergeCell ref="B116:C116"/>
    <mergeCell ref="B97:C97"/>
    <mergeCell ref="A54:D54"/>
    <mergeCell ref="F56:G56"/>
    <mergeCell ref="A61:D61"/>
    <mergeCell ref="B59:C59"/>
    <mergeCell ref="A118:D118"/>
    <mergeCell ref="A29:D29"/>
    <mergeCell ref="A38:D38"/>
    <mergeCell ref="A48:D48"/>
    <mergeCell ref="B46:C46"/>
    <mergeCell ref="B35:C35"/>
    <mergeCell ref="F70:G70"/>
    <mergeCell ref="A99:D99"/>
    <mergeCell ref="A89:D89"/>
    <mergeCell ref="B76:C76"/>
    <mergeCell ref="A78:D78"/>
    <mergeCell ref="B87:C87"/>
    <mergeCell ref="F94:G94"/>
    <mergeCell ref="A2:D2"/>
    <mergeCell ref="B8:C8"/>
    <mergeCell ref="A20:D20"/>
    <mergeCell ref="B26:C26"/>
    <mergeCell ref="B18:C18"/>
    <mergeCell ref="A10:D10"/>
  </mergeCells>
  <dataValidations count="1">
    <dataValidation type="list" allowBlank="1" showInputMessage="1" showErrorMessage="1" sqref="A4:A9 A12:A17 A22:A26 A31:A35 A40:A45 A50:A51 A56:A58 A63:A64 A70:A75 A80:A86 A91:A96 A111:A115 A122 A136:A140" xr:uid="{1BE6DF20-6E87-401E-A911-34F865327746}">
      <formula1>ClaveProductos</formula1>
    </dataValidation>
  </dataValidations>
  <pageMargins left="0.7" right="0.7" top="0.75" bottom="0.75" header="0.3" footer="0.3"/>
  <pageSetup scale="30" fitToHeight="0" orientation="portrait" r:id="rId1"/>
  <legacyDrawing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E6DFA872-91D2-8447-B644-FD06CE77CE56}">
          <x14:formula1>
            <xm:f>'Costo Materia Prima'!$D$3:$D$164</xm:f>
          </x14:formula1>
          <xm:sqref>A145:A149 A162:A165 A154:A157 A170:A172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99EC20-67BF-41BD-B3C3-6E2BC6FB0010}">
  <sheetPr codeName="Hoja5"/>
  <dimension ref="A1:AI323"/>
  <sheetViews>
    <sheetView topLeftCell="C94" zoomScale="130" zoomScaleNormal="130" workbookViewId="0">
      <selection activeCell="G114" sqref="G114"/>
    </sheetView>
  </sheetViews>
  <sheetFormatPr baseColWidth="10" defaultColWidth="11.5" defaultRowHeight="15" x14ac:dyDescent="0.2"/>
  <cols>
    <col min="1" max="1" width="19.83203125" bestFit="1" customWidth="1"/>
    <col min="2" max="2" width="8.83203125" bestFit="1" customWidth="1"/>
    <col min="3" max="3" width="10.83203125" bestFit="1" customWidth="1"/>
    <col min="4" max="4" width="14" bestFit="1" customWidth="1"/>
    <col min="6" max="6" width="12.83203125" bestFit="1" customWidth="1"/>
    <col min="7" max="7" width="9.5" customWidth="1"/>
    <col min="8" max="8" width="12.5" customWidth="1"/>
    <col min="9" max="9" width="21" bestFit="1" customWidth="1"/>
    <col min="10" max="10" width="9.83203125" customWidth="1"/>
    <col min="11" max="13" width="11.6640625" bestFit="1" customWidth="1"/>
    <col min="14" max="14" width="8" bestFit="1" customWidth="1"/>
    <col min="15" max="15" width="11.5" customWidth="1"/>
    <col min="16" max="16" width="15.33203125" customWidth="1"/>
    <col min="17" max="17" width="14.1640625" customWidth="1"/>
    <col min="19" max="19" width="24.1640625" bestFit="1" customWidth="1"/>
    <col min="20" max="20" width="10.1640625" bestFit="1" customWidth="1"/>
    <col min="21" max="23" width="10.83203125" bestFit="1" customWidth="1"/>
    <col min="24" max="24" width="13.5" bestFit="1" customWidth="1"/>
    <col min="25" max="25" width="13.83203125" bestFit="1" customWidth="1"/>
    <col min="26" max="26" width="14.5" bestFit="1" customWidth="1"/>
    <col min="27" max="27" width="12.1640625" bestFit="1" customWidth="1"/>
  </cols>
  <sheetData>
    <row r="1" spans="1:11" x14ac:dyDescent="0.2">
      <c r="K1" s="20"/>
    </row>
    <row r="2" spans="1:11" ht="16" thickBot="1" x14ac:dyDescent="0.25">
      <c r="A2" s="313" t="s">
        <v>360</v>
      </c>
      <c r="B2" s="313"/>
      <c r="C2" s="313"/>
      <c r="D2" s="313"/>
      <c r="H2" s="20"/>
      <c r="I2" t="s">
        <v>372</v>
      </c>
      <c r="J2" t="s">
        <v>373</v>
      </c>
    </row>
    <row r="3" spans="1:11" x14ac:dyDescent="0.2">
      <c r="A3" s="20" t="s">
        <v>341</v>
      </c>
      <c r="B3" s="20" t="s">
        <v>4</v>
      </c>
      <c r="C3" s="20" t="s">
        <v>5</v>
      </c>
      <c r="D3" s="20" t="s">
        <v>7</v>
      </c>
      <c r="F3" s="112" t="s">
        <v>361</v>
      </c>
      <c r="G3" s="112">
        <v>7.2750000000000004</v>
      </c>
      <c r="I3">
        <v>0.22</v>
      </c>
      <c r="J3">
        <v>0.35</v>
      </c>
    </row>
    <row r="4" spans="1:11" x14ac:dyDescent="0.2">
      <c r="A4" t="s">
        <v>230</v>
      </c>
      <c r="B4" s="10">
        <v>4</v>
      </c>
      <c r="C4" t="s">
        <v>15</v>
      </c>
      <c r="D4" s="6">
        <f>VLOOKUP(A4,'Costo Materia Prima'!$D$3:$I$234,6,FALSE)*B4</f>
        <v>74</v>
      </c>
      <c r="F4" s="112" t="s">
        <v>362</v>
      </c>
      <c r="G4" s="85">
        <f>D7/G3</f>
        <v>72.552302405498281</v>
      </c>
      <c r="I4" s="12">
        <f>(B4*$I$3)/$G$3</f>
        <v>0.12096219931271478</v>
      </c>
      <c r="J4" s="12">
        <f>(B4*$J$3)/$G$3</f>
        <v>0.19243986254295531</v>
      </c>
      <c r="K4" s="12"/>
    </row>
    <row r="5" spans="1:11" x14ac:dyDescent="0.2">
      <c r="A5" t="s">
        <v>13</v>
      </c>
      <c r="B5" s="10">
        <v>0.8</v>
      </c>
      <c r="C5" t="s">
        <v>15</v>
      </c>
      <c r="D5" s="6">
        <f>VLOOKUP(A5,'Costo Materia Prima'!$D$3:$I$234,6,FALSE)*B5</f>
        <v>16.32</v>
      </c>
      <c r="I5" s="12">
        <f>(B5*$I$3)/$G$3</f>
        <v>2.4192439862542957E-2</v>
      </c>
      <c r="J5" s="12">
        <f t="shared" ref="J5:J6" si="0">(B5*$J$3)/$G$3</f>
        <v>3.848797250859106E-2</v>
      </c>
      <c r="K5" s="12"/>
    </row>
    <row r="6" spans="1:11" x14ac:dyDescent="0.2">
      <c r="A6" t="s">
        <v>313</v>
      </c>
      <c r="B6" s="10">
        <v>2.5</v>
      </c>
      <c r="C6" t="s">
        <v>15</v>
      </c>
      <c r="D6" s="6">
        <f>VLOOKUP(A6,'Costo Materia Prima'!$D$3:$I$234,6,FALSE)*B6</f>
        <v>437.49799999999993</v>
      </c>
      <c r="F6" t="s">
        <v>757</v>
      </c>
      <c r="G6" s="13">
        <f>[2]PAN!$L$30</f>
        <v>13.804245359132993</v>
      </c>
      <c r="H6" t="s">
        <v>373</v>
      </c>
      <c r="I6" s="12">
        <f t="shared" ref="I6" si="1">(B6*$I$3)/$G$3</f>
        <v>7.5601374570446744E-2</v>
      </c>
      <c r="J6" s="12">
        <f t="shared" si="0"/>
        <v>0.12027491408934707</v>
      </c>
      <c r="K6" s="12"/>
    </row>
    <row r="7" spans="1:11" x14ac:dyDescent="0.2">
      <c r="C7" s="20" t="s">
        <v>344</v>
      </c>
      <c r="D7" s="19">
        <f>SUM(D4:D6)</f>
        <v>527.81799999999998</v>
      </c>
      <c r="F7" t="s">
        <v>757</v>
      </c>
      <c r="G7" s="13">
        <f>[2]PAN!$L$31</f>
        <v>9.2028302394219956</v>
      </c>
      <c r="H7" t="s">
        <v>373</v>
      </c>
    </row>
    <row r="8" spans="1:11" x14ac:dyDescent="0.2">
      <c r="C8" s="20"/>
      <c r="D8" s="19"/>
    </row>
    <row r="9" spans="1:11" ht="16" thickBot="1" x14ac:dyDescent="0.25">
      <c r="A9" s="313" t="s">
        <v>653</v>
      </c>
      <c r="B9" s="313"/>
      <c r="C9" s="313"/>
      <c r="D9" s="313"/>
      <c r="H9" s="20"/>
      <c r="I9" t="s">
        <v>372</v>
      </c>
      <c r="J9" t="s">
        <v>373</v>
      </c>
    </row>
    <row r="10" spans="1:11" x14ac:dyDescent="0.2">
      <c r="A10" s="20" t="s">
        <v>341</v>
      </c>
      <c r="B10" s="20" t="s">
        <v>4</v>
      </c>
      <c r="C10" s="20" t="s">
        <v>5</v>
      </c>
      <c r="D10" s="20" t="s">
        <v>7</v>
      </c>
      <c r="F10" s="112" t="s">
        <v>361</v>
      </c>
      <c r="G10" s="112">
        <v>7.7</v>
      </c>
      <c r="I10">
        <v>0.22</v>
      </c>
      <c r="J10">
        <v>0.35</v>
      </c>
    </row>
    <row r="11" spans="1:11" x14ac:dyDescent="0.2">
      <c r="A11" t="s">
        <v>230</v>
      </c>
      <c r="B11" s="10">
        <v>4</v>
      </c>
      <c r="C11" t="s">
        <v>15</v>
      </c>
      <c r="D11" s="6">
        <f>VLOOKUP(A11,'Costo Materia Prima'!$D$3:$I$234,6,FALSE)*B11</f>
        <v>74</v>
      </c>
      <c r="F11" s="112" t="s">
        <v>362</v>
      </c>
      <c r="G11" s="85">
        <f>D15/G10</f>
        <v>79.924415584415584</v>
      </c>
      <c r="I11" s="12">
        <f>(B11*$I$10)/$G$10</f>
        <v>0.11428571428571428</v>
      </c>
      <c r="J11" s="12">
        <f>(B11*$J$10)/$G$10</f>
        <v>0.1818181818181818</v>
      </c>
      <c r="K11" s="12"/>
    </row>
    <row r="12" spans="1:11" x14ac:dyDescent="0.2">
      <c r="A12" t="s">
        <v>13</v>
      </c>
      <c r="B12" s="10">
        <v>0.8</v>
      </c>
      <c r="C12" t="s">
        <v>15</v>
      </c>
      <c r="D12" s="6">
        <f>VLOOKUP(A12,'Costo Materia Prima'!$D$3:$I$234,6,FALSE)*B12</f>
        <v>16.32</v>
      </c>
      <c r="I12" s="12">
        <f>(B12*$I$10)/$G$10</f>
        <v>2.2857142857142861E-2</v>
      </c>
      <c r="J12" s="12">
        <f>(B12*$J$10)/$G$10</f>
        <v>3.6363636363636362E-2</v>
      </c>
      <c r="K12" s="12"/>
    </row>
    <row r="13" spans="1:11" x14ac:dyDescent="0.2">
      <c r="A13" t="s">
        <v>313</v>
      </c>
      <c r="B13" s="10">
        <v>2.5</v>
      </c>
      <c r="C13" t="s">
        <v>15</v>
      </c>
      <c r="D13" s="6">
        <f>VLOOKUP(A13,'Costo Materia Prima'!$D$3:$I$234,6,FALSE)*B13</f>
        <v>437.49799999999993</v>
      </c>
      <c r="F13" t="s">
        <v>757</v>
      </c>
      <c r="G13" s="13">
        <f>[2]PAN!$L$32</f>
        <v>19.672709030839115</v>
      </c>
      <c r="H13" t="s">
        <v>373</v>
      </c>
      <c r="I13" s="12">
        <f>(B13*$I$10)/$G$10</f>
        <v>7.1428571428571438E-2</v>
      </c>
      <c r="J13" s="12">
        <f>(B13*$J$10)/$G$10</f>
        <v>0.11363636363636363</v>
      </c>
      <c r="K13" s="12"/>
    </row>
    <row r="14" spans="1:11" x14ac:dyDescent="0.2">
      <c r="A14" t="s">
        <v>82</v>
      </c>
      <c r="B14" s="10">
        <v>0.4</v>
      </c>
      <c r="C14" t="s">
        <v>15</v>
      </c>
      <c r="D14" s="6">
        <f>VLOOKUP(A14,'Costo Materia Prima'!$D$3:$I$234,6,FALSE)*B14</f>
        <v>87.600000000000009</v>
      </c>
      <c r="F14" t="s">
        <v>757</v>
      </c>
      <c r="G14" s="13">
        <f>[2]PAN!$L$33</f>
        <v>13.115139353892744</v>
      </c>
      <c r="H14" t="s">
        <v>373</v>
      </c>
      <c r="I14" s="12">
        <f>(B14*$I$10)/$G$10</f>
        <v>1.142857142857143E-2</v>
      </c>
      <c r="J14" s="12">
        <f>(B14*$J$10)/$G$10</f>
        <v>1.8181818181818181E-2</v>
      </c>
      <c r="K14" s="12"/>
    </row>
    <row r="15" spans="1:11" x14ac:dyDescent="0.2">
      <c r="C15" s="20" t="s">
        <v>344</v>
      </c>
      <c r="D15" s="19">
        <f>SUM(D11:D14)</f>
        <v>615.41800000000001</v>
      </c>
    </row>
    <row r="17" spans="1:11" ht="16" thickBot="1" x14ac:dyDescent="0.25">
      <c r="A17" s="313" t="s">
        <v>363</v>
      </c>
      <c r="B17" s="313"/>
      <c r="C17" s="313"/>
      <c r="D17" s="313"/>
    </row>
    <row r="18" spans="1:11" x14ac:dyDescent="0.2">
      <c r="A18" s="20" t="s">
        <v>341</v>
      </c>
      <c r="B18" s="20" t="s">
        <v>4</v>
      </c>
      <c r="C18" s="20" t="s">
        <v>5</v>
      </c>
      <c r="D18" s="20" t="s">
        <v>7</v>
      </c>
      <c r="F18" s="112" t="s">
        <v>364</v>
      </c>
      <c r="G18" s="112">
        <v>8.625</v>
      </c>
      <c r="H18" s="20"/>
    </row>
    <row r="19" spans="1:11" x14ac:dyDescent="0.2">
      <c r="A19" t="s">
        <v>185</v>
      </c>
      <c r="B19" s="12">
        <v>1.82</v>
      </c>
      <c r="C19" t="s">
        <v>15</v>
      </c>
      <c r="D19" s="6">
        <f>VLOOKUP(A19,'Costo Materia Prima'!$D$3:$I$234,6,FALSE)*B19</f>
        <v>113.57156862745097</v>
      </c>
      <c r="E19" s="23">
        <f>(B19/$G$18)*1000</f>
        <v>211.01449275362319</v>
      </c>
      <c r="F19" s="112" t="s">
        <v>624</v>
      </c>
      <c r="G19" s="85">
        <f>D24/G18</f>
        <v>55.125303246660984</v>
      </c>
      <c r="I19" s="12">
        <f>B19/$G$18</f>
        <v>0.21101449275362319</v>
      </c>
      <c r="J19" s="12"/>
      <c r="K19" s="12"/>
    </row>
    <row r="20" spans="1:11" x14ac:dyDescent="0.2">
      <c r="A20" t="s">
        <v>311</v>
      </c>
      <c r="B20" s="12">
        <v>1.2</v>
      </c>
      <c r="C20" t="s">
        <v>15</v>
      </c>
      <c r="D20" s="6">
        <f>VLOOKUP(A20,'Costo Materia Prima'!$D$3:$I$234,6,FALSE)*B20</f>
        <v>186</v>
      </c>
      <c r="E20" s="23">
        <f>(B20/$G$18)*1000</f>
        <v>139.13043478260869</v>
      </c>
      <c r="I20" s="12">
        <f t="shared" ref="I20:I23" si="2">B20/$G$18</f>
        <v>0.1391304347826087</v>
      </c>
      <c r="J20" s="12"/>
      <c r="K20" s="12"/>
    </row>
    <row r="21" spans="1:11" x14ac:dyDescent="0.2">
      <c r="A21" t="s">
        <v>22</v>
      </c>
      <c r="B21" s="12">
        <v>1.41</v>
      </c>
      <c r="C21" t="s">
        <v>18</v>
      </c>
      <c r="D21" s="6">
        <f>VLOOKUP(A21,'Costo Materia Prima'!$D$3:$I$234,6,FALSE)*B21</f>
        <v>82.25</v>
      </c>
      <c r="E21" s="23">
        <f>(B21/$G$18)*1000</f>
        <v>163.47826086956522</v>
      </c>
      <c r="I21" s="12">
        <f t="shared" si="2"/>
        <v>0.16347826086956521</v>
      </c>
      <c r="J21" s="12"/>
      <c r="K21" s="12"/>
    </row>
    <row r="22" spans="1:11" x14ac:dyDescent="0.2">
      <c r="A22" t="s">
        <v>132</v>
      </c>
      <c r="B22" s="12">
        <v>48</v>
      </c>
      <c r="C22" t="s">
        <v>21</v>
      </c>
      <c r="D22" s="6">
        <f>VLOOKUP(A22,'Costo Materia Prima'!$D$3:$I$234,6,FALSE)*B22</f>
        <v>86.671999999999997</v>
      </c>
      <c r="E22" s="23">
        <f>(B22/$G$18)*1000</f>
        <v>5565.217391304348</v>
      </c>
      <c r="I22" s="12">
        <f t="shared" si="2"/>
        <v>5.5652173913043477</v>
      </c>
      <c r="J22" s="12"/>
      <c r="K22" s="12"/>
    </row>
    <row r="23" spans="1:11" x14ac:dyDescent="0.2">
      <c r="A23" t="s">
        <v>183</v>
      </c>
      <c r="B23" s="12">
        <v>0.1</v>
      </c>
      <c r="C23" t="s">
        <v>18</v>
      </c>
      <c r="D23" s="6">
        <f>VLOOKUP(A23,'Costo Materia Prima'!$D$3:$I$234,6,FALSE)*B23</f>
        <v>6.9621718750000001</v>
      </c>
      <c r="E23" s="23">
        <f>(B23/$G$18)*1000</f>
        <v>11.594202898550725</v>
      </c>
      <c r="I23" s="12">
        <f t="shared" si="2"/>
        <v>1.1594202898550725E-2</v>
      </c>
      <c r="J23" s="12"/>
      <c r="K23" s="12"/>
    </row>
    <row r="24" spans="1:11" x14ac:dyDescent="0.2">
      <c r="C24" s="20" t="s">
        <v>344</v>
      </c>
      <c r="D24" s="6">
        <f>SUM(D19:D23)</f>
        <v>475.45574050245096</v>
      </c>
    </row>
    <row r="26" spans="1:11" ht="16" thickBot="1" x14ac:dyDescent="0.25">
      <c r="A26" s="319" t="s">
        <v>365</v>
      </c>
      <c r="B26" s="319"/>
      <c r="C26" s="319"/>
      <c r="D26" s="319"/>
    </row>
    <row r="27" spans="1:11" x14ac:dyDescent="0.2">
      <c r="A27" s="20" t="s">
        <v>341</v>
      </c>
      <c r="B27" s="20" t="s">
        <v>4</v>
      </c>
      <c r="C27" s="20" t="s">
        <v>5</v>
      </c>
      <c r="D27" s="20" t="s">
        <v>7</v>
      </c>
      <c r="F27" s="112" t="s">
        <v>364</v>
      </c>
      <c r="G27" s="112">
        <v>2.3530000000000002</v>
      </c>
      <c r="H27" s="20"/>
    </row>
    <row r="28" spans="1:11" x14ac:dyDescent="0.2">
      <c r="A28" t="s">
        <v>19</v>
      </c>
      <c r="B28" s="12">
        <v>8</v>
      </c>
      <c r="C28" t="s">
        <v>21</v>
      </c>
      <c r="D28" s="6">
        <f>VLOOKUP(A28,'Costo Materia Prima'!$D$3:$I$234,6,FALSE)*B28</f>
        <v>111.12</v>
      </c>
      <c r="F28" s="112" t="s">
        <v>362</v>
      </c>
      <c r="G28" s="85">
        <f>D32/G27</f>
        <v>101.66065448363788</v>
      </c>
    </row>
    <row r="29" spans="1:11" x14ac:dyDescent="0.2">
      <c r="A29" t="s">
        <v>313</v>
      </c>
      <c r="B29" s="12">
        <v>0.6</v>
      </c>
      <c r="C29" t="s">
        <v>15</v>
      </c>
      <c r="D29" s="6">
        <f>VLOOKUP(A29,'Costo Materia Prima'!$D$3:$I$234,6,FALSE)*B29</f>
        <v>104.99951999999998</v>
      </c>
    </row>
    <row r="30" spans="1:11" x14ac:dyDescent="0.2">
      <c r="A30" t="s">
        <v>13</v>
      </c>
      <c r="B30" s="12">
        <v>0.37</v>
      </c>
      <c r="C30" t="s">
        <v>15</v>
      </c>
      <c r="D30" s="6">
        <f>VLOOKUP(A30,'Costo Materia Prima'!$D$3:$I$234,6,FALSE)*B30</f>
        <v>7.5479999999999992</v>
      </c>
    </row>
    <row r="31" spans="1:11" x14ac:dyDescent="0.2">
      <c r="A31" t="s">
        <v>124</v>
      </c>
      <c r="B31" s="12">
        <v>0.3</v>
      </c>
      <c r="C31" t="s">
        <v>15</v>
      </c>
      <c r="D31" s="6">
        <f>VLOOKUP(A31,'Costo Materia Prima'!$D$3:$I$234,6,FALSE)*B31</f>
        <v>15.54</v>
      </c>
    </row>
    <row r="32" spans="1:11" x14ac:dyDescent="0.2">
      <c r="C32" s="20" t="s">
        <v>344</v>
      </c>
      <c r="D32" s="19">
        <f>SUM(D28:D31)</f>
        <v>239.20751999999996</v>
      </c>
    </row>
    <row r="33" spans="1:26" x14ac:dyDescent="0.2">
      <c r="I33" t="s">
        <v>372</v>
      </c>
      <c r="K33" t="s">
        <v>373</v>
      </c>
    </row>
    <row r="34" spans="1:26" ht="16" thickBot="1" x14ac:dyDescent="0.25">
      <c r="A34" s="319" t="s">
        <v>649</v>
      </c>
      <c r="B34" s="319"/>
      <c r="C34" s="319"/>
      <c r="D34" s="319"/>
      <c r="I34">
        <f>G35-0.148</f>
        <v>7.5520000000000005</v>
      </c>
      <c r="K34">
        <f>G35-0.318</f>
        <v>7.3820000000000006</v>
      </c>
    </row>
    <row r="35" spans="1:26" x14ac:dyDescent="0.2">
      <c r="A35" s="20" t="s">
        <v>341</v>
      </c>
      <c r="B35" s="20" t="s">
        <v>4</v>
      </c>
      <c r="C35" s="20" t="s">
        <v>5</v>
      </c>
      <c r="D35" s="20" t="s">
        <v>7</v>
      </c>
      <c r="F35" s="112" t="s">
        <v>364</v>
      </c>
      <c r="G35" s="112">
        <v>7.7</v>
      </c>
      <c r="H35" s="20"/>
      <c r="I35">
        <v>0.22</v>
      </c>
      <c r="J35" t="s">
        <v>788</v>
      </c>
      <c r="K35">
        <v>0.35</v>
      </c>
      <c r="L35" t="s">
        <v>788</v>
      </c>
    </row>
    <row r="36" spans="1:26" x14ac:dyDescent="0.2">
      <c r="A36" t="s">
        <v>82</v>
      </c>
      <c r="B36" s="12">
        <v>0.4</v>
      </c>
      <c r="C36" t="s">
        <v>15</v>
      </c>
      <c r="D36" s="6">
        <f>VLOOKUP(A36,'Costo Materia Prima'!$D$3:$I$234,6,FALSE)*B36</f>
        <v>87.600000000000009</v>
      </c>
      <c r="E36" s="12">
        <f>B36/$G$35</f>
        <v>5.1948051948051951E-2</v>
      </c>
      <c r="F36" s="112" t="s">
        <v>362</v>
      </c>
      <c r="G36" s="85">
        <f>D40/G35</f>
        <v>79.924415584415584</v>
      </c>
      <c r="I36" s="14">
        <f>E36*$I$35</f>
        <v>1.1428571428571429E-2</v>
      </c>
      <c r="J36" s="23">
        <f>I36*1000</f>
        <v>11.428571428571429</v>
      </c>
      <c r="K36" s="14">
        <f>E36*$K$35</f>
        <v>1.8181818181818181E-2</v>
      </c>
      <c r="L36" s="23">
        <f>K36*1000</f>
        <v>18.18181818181818</v>
      </c>
    </row>
    <row r="37" spans="1:26" x14ac:dyDescent="0.2">
      <c r="A37" t="s">
        <v>313</v>
      </c>
      <c r="B37" s="12">
        <v>2.5</v>
      </c>
      <c r="C37" t="s">
        <v>15</v>
      </c>
      <c r="D37" s="6">
        <f>VLOOKUP(A37,'Costo Materia Prima'!$D$3:$I$234,6,FALSE)*B37</f>
        <v>437.49799999999993</v>
      </c>
      <c r="E37" s="12">
        <f t="shared" ref="E37:E39" si="3">B37/$G$35</f>
        <v>0.32467532467532467</v>
      </c>
      <c r="I37" s="14">
        <f t="shared" ref="I37:I39" si="4">E37*$I$35</f>
        <v>7.1428571428571425E-2</v>
      </c>
      <c r="J37" s="23">
        <f t="shared" ref="J37:L39" si="5">I37*1000</f>
        <v>71.428571428571431</v>
      </c>
      <c r="K37" s="14">
        <f t="shared" ref="K37:K39" si="6">E37*$K$35</f>
        <v>0.11363636363636363</v>
      </c>
      <c r="L37" s="23">
        <f t="shared" si="5"/>
        <v>113.63636363636363</v>
      </c>
    </row>
    <row r="38" spans="1:26" x14ac:dyDescent="0.2">
      <c r="A38" t="s">
        <v>13</v>
      </c>
      <c r="B38" s="12">
        <v>0.8</v>
      </c>
      <c r="C38" t="s">
        <v>15</v>
      </c>
      <c r="D38" s="6">
        <f>VLOOKUP(A38,'Costo Materia Prima'!$D$3:$I$234,6,FALSE)*B38</f>
        <v>16.32</v>
      </c>
      <c r="E38" s="12">
        <f t="shared" si="3"/>
        <v>0.1038961038961039</v>
      </c>
      <c r="I38" s="14">
        <f t="shared" si="4"/>
        <v>2.2857142857142857E-2</v>
      </c>
      <c r="J38" s="23">
        <f t="shared" si="5"/>
        <v>22.857142857142858</v>
      </c>
      <c r="K38" s="14">
        <f t="shared" si="6"/>
        <v>3.6363636363636362E-2</v>
      </c>
      <c r="L38" s="23">
        <f t="shared" si="5"/>
        <v>36.36363636363636</v>
      </c>
    </row>
    <row r="39" spans="1:26" x14ac:dyDescent="0.2">
      <c r="A39" t="s">
        <v>230</v>
      </c>
      <c r="B39" s="12">
        <v>4</v>
      </c>
      <c r="C39" t="s">
        <v>15</v>
      </c>
      <c r="D39" s="6">
        <f>VLOOKUP(A39,'Costo Materia Prima'!$D$3:$I$234,6,FALSE)*B39</f>
        <v>74</v>
      </c>
      <c r="E39" s="12">
        <f t="shared" si="3"/>
        <v>0.51948051948051943</v>
      </c>
      <c r="I39" s="14">
        <f t="shared" si="4"/>
        <v>0.11428571428571428</v>
      </c>
      <c r="J39" s="23">
        <f t="shared" si="5"/>
        <v>114.28571428571428</v>
      </c>
      <c r="K39" s="14">
        <f t="shared" si="6"/>
        <v>0.1818181818181818</v>
      </c>
      <c r="L39" s="23">
        <f t="shared" si="5"/>
        <v>181.81818181818178</v>
      </c>
    </row>
    <row r="40" spans="1:26" x14ac:dyDescent="0.2">
      <c r="C40" s="20" t="s">
        <v>344</v>
      </c>
      <c r="D40" s="19">
        <f>SUM(D36:D39)</f>
        <v>615.41800000000001</v>
      </c>
    </row>
    <row r="41" spans="1:26" x14ac:dyDescent="0.2">
      <c r="B41" s="3"/>
      <c r="C41" s="3"/>
      <c r="D41" s="13"/>
    </row>
    <row r="42" spans="1:26" ht="16" thickBot="1" x14ac:dyDescent="0.25">
      <c r="A42" s="319" t="s">
        <v>367</v>
      </c>
      <c r="B42" s="319"/>
      <c r="C42" s="319"/>
      <c r="D42" s="319"/>
    </row>
    <row r="43" spans="1:26" x14ac:dyDescent="0.2">
      <c r="A43" s="20" t="s">
        <v>341</v>
      </c>
      <c r="B43" s="20" t="s">
        <v>4</v>
      </c>
      <c r="C43" s="20" t="s">
        <v>5</v>
      </c>
      <c r="D43" s="20" t="s">
        <v>7</v>
      </c>
      <c r="F43" s="112" t="s">
        <v>364</v>
      </c>
      <c r="G43" s="112">
        <v>1</v>
      </c>
      <c r="H43" s="20"/>
      <c r="I43" s="318" t="s">
        <v>368</v>
      </c>
      <c r="J43" s="318"/>
      <c r="K43" s="318"/>
      <c r="L43" s="318"/>
      <c r="M43" s="318"/>
      <c r="N43" s="318"/>
      <c r="O43" s="318"/>
      <c r="P43" s="318"/>
      <c r="Q43" s="247"/>
      <c r="S43" s="318" t="s">
        <v>368</v>
      </c>
      <c r="T43" s="318"/>
      <c r="U43" s="318"/>
      <c r="V43" s="318"/>
      <c r="W43" s="318"/>
      <c r="X43" s="318"/>
      <c r="Y43" s="318"/>
      <c r="Z43" s="318"/>
    </row>
    <row r="44" spans="1:26" x14ac:dyDescent="0.2">
      <c r="A44" t="s">
        <v>311</v>
      </c>
      <c r="B44" s="12">
        <v>0.2</v>
      </c>
      <c r="C44" t="s">
        <v>15</v>
      </c>
      <c r="D44" s="6">
        <f>VLOOKUP(A44,'Costo Materia Prima'!$D$3:$I$234,6,FALSE)*B44</f>
        <v>31</v>
      </c>
      <c r="F44" s="112" t="s">
        <v>362</v>
      </c>
      <c r="G44" s="85">
        <f>D51/G43</f>
        <v>91.108232643995095</v>
      </c>
      <c r="I44" s="29" t="s">
        <v>369</v>
      </c>
      <c r="J44" s="70" t="s">
        <v>370</v>
      </c>
      <c r="K44" s="29" t="s">
        <v>371</v>
      </c>
      <c r="L44" s="29" t="s">
        <v>372</v>
      </c>
      <c r="M44" s="29" t="s">
        <v>373</v>
      </c>
      <c r="N44" s="29" t="s">
        <v>374</v>
      </c>
      <c r="O44" s="29" t="s">
        <v>375</v>
      </c>
      <c r="P44" s="29" t="s">
        <v>376</v>
      </c>
      <c r="Q44" s="160"/>
      <c r="S44" s="29" t="s">
        <v>377</v>
      </c>
      <c r="T44" s="70" t="s">
        <v>370</v>
      </c>
      <c r="U44" s="29" t="s">
        <v>371</v>
      </c>
      <c r="V44" s="29" t="s">
        <v>372</v>
      </c>
      <c r="W44" s="29" t="s">
        <v>373</v>
      </c>
      <c r="X44" s="29" t="s">
        <v>374</v>
      </c>
      <c r="Y44" s="29" t="s">
        <v>375</v>
      </c>
      <c r="Z44" s="29" t="s">
        <v>376</v>
      </c>
    </row>
    <row r="45" spans="1:26" x14ac:dyDescent="0.2">
      <c r="A45" t="s">
        <v>185</v>
      </c>
      <c r="B45" s="12">
        <v>0.25</v>
      </c>
      <c r="C45" t="s">
        <v>15</v>
      </c>
      <c r="D45" s="6">
        <f>VLOOKUP(A45,'Costo Materia Prima'!$D$3:$I$234,6,FALSE)*B45</f>
        <v>15.600490196078431</v>
      </c>
      <c r="I45" s="40" t="s">
        <v>378</v>
      </c>
      <c r="J45" s="33"/>
      <c r="K45" s="30">
        <v>0</v>
      </c>
      <c r="L45" s="41">
        <v>2</v>
      </c>
      <c r="M45" s="42">
        <v>1</v>
      </c>
      <c r="N45" s="52">
        <v>0</v>
      </c>
      <c r="O45" s="52">
        <v>0</v>
      </c>
      <c r="P45" s="31">
        <v>0</v>
      </c>
      <c r="Q45" s="160"/>
      <c r="S45" s="29"/>
      <c r="T45" s="29"/>
      <c r="U45" s="53">
        <f t="shared" ref="U45:Z45" si="7">IFERROR($G$44*K46,0)</f>
        <v>0</v>
      </c>
      <c r="V45" s="53">
        <f t="shared" si="7"/>
        <v>45.554116321997547</v>
      </c>
      <c r="W45" s="53">
        <f t="shared" si="7"/>
        <v>91.108232643995095</v>
      </c>
      <c r="X45" s="53">
        <f t="shared" si="7"/>
        <v>0</v>
      </c>
      <c r="Y45" s="53">
        <f t="shared" si="7"/>
        <v>0</v>
      </c>
      <c r="Z45" s="53">
        <f t="shared" si="7"/>
        <v>0</v>
      </c>
    </row>
    <row r="46" spans="1:26" x14ac:dyDescent="0.2">
      <c r="A46" t="s">
        <v>187</v>
      </c>
      <c r="B46" s="12">
        <v>0.25</v>
      </c>
      <c r="C46" t="s">
        <v>18</v>
      </c>
      <c r="D46" s="6">
        <f>VLOOKUP(A46,'Costo Materia Prima'!$D$3:$I$234,6,FALSE)*B46</f>
        <v>14.296749999999999</v>
      </c>
      <c r="I46" s="40" t="s">
        <v>379</v>
      </c>
      <c r="J46" s="33"/>
      <c r="K46" s="30">
        <f>IFERROR($G$43/K45,0)</f>
        <v>0</v>
      </c>
      <c r="L46" s="30">
        <f t="shared" ref="L46:P46" si="8">IFERROR($G$43/L45,0)</f>
        <v>0.5</v>
      </c>
      <c r="M46" s="30">
        <f t="shared" si="8"/>
        <v>1</v>
      </c>
      <c r="N46" s="30">
        <f t="shared" si="8"/>
        <v>0</v>
      </c>
      <c r="O46" s="30">
        <f t="shared" si="8"/>
        <v>0</v>
      </c>
      <c r="P46" s="30">
        <f t="shared" si="8"/>
        <v>0</v>
      </c>
      <c r="Q46" s="160"/>
      <c r="S46" s="29" t="s">
        <v>380</v>
      </c>
      <c r="T46" s="70" t="s">
        <v>370</v>
      </c>
      <c r="U46" s="29" t="s">
        <v>371</v>
      </c>
      <c r="V46" s="29" t="s">
        <v>372</v>
      </c>
      <c r="W46" s="29" t="s">
        <v>373</v>
      </c>
      <c r="X46" s="29" t="s">
        <v>374</v>
      </c>
      <c r="Y46" s="29" t="s">
        <v>375</v>
      </c>
      <c r="Z46" s="29" t="s">
        <v>376</v>
      </c>
    </row>
    <row r="47" spans="1:26" x14ac:dyDescent="0.2">
      <c r="A47" t="s">
        <v>22</v>
      </c>
      <c r="B47" s="12">
        <v>0.5</v>
      </c>
      <c r="C47" t="s">
        <v>15</v>
      </c>
      <c r="D47" s="6">
        <f>VLOOKUP(A47,'Costo Materia Prima'!$D$3:$I$234,6,FALSE)*B47</f>
        <v>29.166666666666668</v>
      </c>
      <c r="I47" s="40" t="s">
        <v>381</v>
      </c>
      <c r="J47" s="33"/>
      <c r="K47" s="30">
        <f>K46</f>
        <v>0</v>
      </c>
      <c r="L47" s="30">
        <f t="shared" ref="L47:P47" si="9">L46</f>
        <v>0.5</v>
      </c>
      <c r="M47" s="30">
        <f t="shared" si="9"/>
        <v>1</v>
      </c>
      <c r="N47" s="30">
        <f t="shared" si="9"/>
        <v>0</v>
      </c>
      <c r="O47" s="30">
        <f t="shared" si="9"/>
        <v>0</v>
      </c>
      <c r="P47" s="30">
        <f t="shared" si="9"/>
        <v>0</v>
      </c>
      <c r="Q47" s="160"/>
      <c r="S47" s="29"/>
      <c r="T47" s="29"/>
      <c r="U47" s="53">
        <f>U45*1</f>
        <v>0</v>
      </c>
      <c r="V47" s="53">
        <f t="shared" ref="V47:Z47" si="10">V45*1</f>
        <v>45.554116321997547</v>
      </c>
      <c r="W47" s="53">
        <f t="shared" si="10"/>
        <v>91.108232643995095</v>
      </c>
      <c r="X47" s="53">
        <f t="shared" si="10"/>
        <v>0</v>
      </c>
      <c r="Y47" s="53">
        <f t="shared" si="10"/>
        <v>0</v>
      </c>
      <c r="Z47" s="53">
        <f t="shared" si="10"/>
        <v>0</v>
      </c>
    </row>
    <row r="48" spans="1:26" x14ac:dyDescent="0.2">
      <c r="A48" t="s">
        <v>382</v>
      </c>
      <c r="B48" s="12">
        <v>0.18</v>
      </c>
      <c r="C48" t="s">
        <v>18</v>
      </c>
      <c r="D48" s="6">
        <v>0</v>
      </c>
    </row>
    <row r="49" spans="1:27" x14ac:dyDescent="0.2">
      <c r="A49" t="s">
        <v>183</v>
      </c>
      <c r="B49">
        <v>1.4999999999999999E-2</v>
      </c>
      <c r="C49" t="s">
        <v>18</v>
      </c>
      <c r="D49" s="6">
        <f>VLOOKUP(A49,'Costo Materia Prima'!$D$3:$I$234,6,FALSE)*B49</f>
        <v>1.04432578125</v>
      </c>
    </row>
    <row r="50" spans="1:27" x14ac:dyDescent="0.2">
      <c r="A50" t="s">
        <v>383</v>
      </c>
      <c r="B50" s="12">
        <v>1</v>
      </c>
      <c r="C50" t="s">
        <v>21</v>
      </c>
      <c r="D50" s="6">
        <v>25</v>
      </c>
    </row>
    <row r="51" spans="1:27" x14ac:dyDescent="0.2">
      <c r="B51" s="310" t="s">
        <v>344</v>
      </c>
      <c r="C51" s="310"/>
      <c r="D51" s="19">
        <f>SUM(D44:D49)</f>
        <v>91.108232643995095</v>
      </c>
    </row>
    <row r="53" spans="1:27" ht="16" customHeight="1" thickBot="1" x14ac:dyDescent="0.25">
      <c r="A53" s="319" t="s">
        <v>384</v>
      </c>
      <c r="B53" s="319"/>
      <c r="C53" s="319"/>
      <c r="D53" s="319"/>
    </row>
    <row r="54" spans="1:27" x14ac:dyDescent="0.2">
      <c r="A54" s="20" t="s">
        <v>341</v>
      </c>
      <c r="B54" s="20" t="s">
        <v>4</v>
      </c>
      <c r="C54" s="20" t="s">
        <v>5</v>
      </c>
      <c r="D54" s="20" t="s">
        <v>7</v>
      </c>
      <c r="E54" s="258">
        <f>Q56</f>
        <v>1.2</v>
      </c>
      <c r="F54" s="112" t="s">
        <v>364</v>
      </c>
      <c r="G54" s="112">
        <v>15.84</v>
      </c>
      <c r="H54" s="20"/>
      <c r="I54" s="321" t="s">
        <v>384</v>
      </c>
      <c r="J54" s="321"/>
      <c r="K54" s="321"/>
      <c r="L54" s="321"/>
      <c r="M54" s="321"/>
      <c r="N54" s="321"/>
      <c r="O54" s="321"/>
      <c r="P54" s="321"/>
      <c r="Q54" s="321"/>
      <c r="S54" s="322" t="s">
        <v>384</v>
      </c>
      <c r="T54" s="322"/>
      <c r="U54" s="322"/>
      <c r="V54" s="322"/>
      <c r="W54" s="322"/>
      <c r="X54" s="322"/>
      <c r="Y54" s="322"/>
      <c r="Z54" s="322"/>
      <c r="AA54" s="322"/>
    </row>
    <row r="55" spans="1:27" ht="16" customHeight="1" x14ac:dyDescent="0.2">
      <c r="A55" s="160" t="s">
        <v>132</v>
      </c>
      <c r="B55" s="113">
        <v>40</v>
      </c>
      <c r="C55" s="113" t="s">
        <v>21</v>
      </c>
      <c r="D55" s="6">
        <f>VLOOKUP(A55,'Costo Materia Prima'!$D$3:$I$234,6,FALSE)*B55</f>
        <v>72.226666666666659</v>
      </c>
      <c r="E55" s="12">
        <f t="shared" ref="E55:E66" si="11">(B55*$E$54)/$G$54</f>
        <v>3.0303030303030303</v>
      </c>
      <c r="F55" s="112" t="s">
        <v>362</v>
      </c>
      <c r="G55" s="85">
        <f>D67/G54</f>
        <v>42.110351144015915</v>
      </c>
      <c r="I55" s="33" t="s">
        <v>369</v>
      </c>
      <c r="J55" s="33" t="s">
        <v>370</v>
      </c>
      <c r="K55" s="33" t="s">
        <v>371</v>
      </c>
      <c r="L55" s="33" t="s">
        <v>372</v>
      </c>
      <c r="M55" s="33" t="s">
        <v>373</v>
      </c>
      <c r="N55" s="33" t="s">
        <v>374</v>
      </c>
      <c r="O55" s="33" t="s">
        <v>375</v>
      </c>
      <c r="P55" s="33" t="s">
        <v>376</v>
      </c>
      <c r="Q55" s="33" t="s">
        <v>759</v>
      </c>
      <c r="S55" s="33" t="s">
        <v>377</v>
      </c>
      <c r="T55" s="33" t="s">
        <v>370</v>
      </c>
      <c r="U55" s="33" t="s">
        <v>371</v>
      </c>
      <c r="V55" s="33" t="s">
        <v>372</v>
      </c>
      <c r="W55" s="33" t="s">
        <v>373</v>
      </c>
      <c r="X55" s="33" t="s">
        <v>374</v>
      </c>
      <c r="Y55" s="33" t="s">
        <v>375</v>
      </c>
      <c r="Z55" s="33" t="s">
        <v>376</v>
      </c>
      <c r="AA55" s="33" t="s">
        <v>759</v>
      </c>
    </row>
    <row r="56" spans="1:27" x14ac:dyDescent="0.2">
      <c r="A56" s="160" t="s">
        <v>101</v>
      </c>
      <c r="B56" s="113">
        <v>3</v>
      </c>
      <c r="C56" s="113" t="s">
        <v>15</v>
      </c>
      <c r="D56" s="6">
        <f>VLOOKUP(A56,'Costo Materia Prima'!$D$3:$I$234,6,FALSE)*B56</f>
        <v>202.72727272727275</v>
      </c>
      <c r="E56" s="12">
        <f t="shared" si="11"/>
        <v>0.22727272727272727</v>
      </c>
      <c r="I56" s="33" t="s">
        <v>378</v>
      </c>
      <c r="J56" s="33">
        <v>0</v>
      </c>
      <c r="K56" s="33">
        <v>0.5</v>
      </c>
      <c r="L56" s="33">
        <v>0.68</v>
      </c>
      <c r="M56" s="33">
        <v>1.18</v>
      </c>
      <c r="N56" s="33">
        <v>0.08</v>
      </c>
      <c r="O56" s="33">
        <v>0</v>
      </c>
      <c r="P56" s="33">
        <v>2.2000000000000002</v>
      </c>
      <c r="Q56" s="33">
        <v>1.2</v>
      </c>
      <c r="S56" s="33"/>
      <c r="T56" s="91">
        <f t="shared" ref="T56:AA56" si="12">IFERROR($D$67/J57,0)</f>
        <v>0</v>
      </c>
      <c r="U56" s="91">
        <f>IFERROR($D$67/K57,0)</f>
        <v>21.517031036168131</v>
      </c>
      <c r="V56" s="91">
        <f>IFERROR($D$67/L57,0)</f>
        <v>29.001215744400525</v>
      </c>
      <c r="W56" s="91">
        <f>IFERROR($D$67/M57,0)</f>
        <v>51.309843240093237</v>
      </c>
      <c r="X56" s="91">
        <f>IFERROR($D$67/N57,0)</f>
        <v>3.3688280915212734</v>
      </c>
      <c r="Y56" s="91">
        <f t="shared" si="12"/>
        <v>0</v>
      </c>
      <c r="Z56" s="91">
        <f t="shared" si="12"/>
        <v>95.289708874458867</v>
      </c>
      <c r="AA56" s="91">
        <f t="shared" si="12"/>
        <v>51.309843240093237</v>
      </c>
    </row>
    <row r="57" spans="1:27" x14ac:dyDescent="0.2">
      <c r="A57" s="160" t="s">
        <v>82</v>
      </c>
      <c r="B57" s="113">
        <v>0.3</v>
      </c>
      <c r="C57" s="113" t="s">
        <v>15</v>
      </c>
      <c r="D57" s="6">
        <f>VLOOKUP(A57,'Costo Materia Prima'!$D$3:$I$234,6,FALSE)*B57</f>
        <v>65.7</v>
      </c>
      <c r="E57" s="12">
        <f t="shared" si="11"/>
        <v>2.2727272727272728E-2</v>
      </c>
      <c r="F57" t="s">
        <v>735</v>
      </c>
      <c r="G57" s="13">
        <f>[2]PAN!$L$23</f>
        <v>1.8277112078301823</v>
      </c>
      <c r="H57" t="s">
        <v>402</v>
      </c>
      <c r="I57" s="33" t="s">
        <v>379</v>
      </c>
      <c r="J57" s="97">
        <f>IFERROR(ROUNDDOWN($G$54/J56,0),0)</f>
        <v>0</v>
      </c>
      <c r="K57" s="97">
        <f>IFERROR(ROUNDDOWN($G$54/K56,0),0)</f>
        <v>31</v>
      </c>
      <c r="L57" s="97">
        <f t="shared" ref="L57:P57" si="13">IFERROR(ROUNDDOWN($G$54/L56,0),0)</f>
        <v>23</v>
      </c>
      <c r="M57" s="97">
        <f t="shared" si="13"/>
        <v>13</v>
      </c>
      <c r="N57" s="97">
        <f t="shared" si="13"/>
        <v>198</v>
      </c>
      <c r="O57" s="97">
        <f t="shared" si="13"/>
        <v>0</v>
      </c>
      <c r="P57" s="97">
        <f t="shared" si="13"/>
        <v>7</v>
      </c>
      <c r="Q57" s="97">
        <f t="shared" ref="Q57" si="14">IFERROR(ROUNDDOWN($G$54/Q56,0),0)</f>
        <v>13</v>
      </c>
      <c r="S57" s="33" t="s">
        <v>380</v>
      </c>
      <c r="T57" s="33" t="s">
        <v>370</v>
      </c>
      <c r="U57" s="33" t="s">
        <v>371</v>
      </c>
      <c r="V57" s="33" t="s">
        <v>372</v>
      </c>
      <c r="W57" s="33" t="s">
        <v>373</v>
      </c>
      <c r="X57" s="33" t="s">
        <v>374</v>
      </c>
      <c r="Y57" s="33" t="s">
        <v>375</v>
      </c>
      <c r="Z57" s="33" t="s">
        <v>376</v>
      </c>
      <c r="AA57" s="33" t="s">
        <v>376</v>
      </c>
    </row>
    <row r="58" spans="1:27" x14ac:dyDescent="0.2">
      <c r="A58" s="160" t="s">
        <v>75</v>
      </c>
      <c r="B58" s="113">
        <v>0.27</v>
      </c>
      <c r="C58" s="113" t="s">
        <v>15</v>
      </c>
      <c r="D58" s="6">
        <f>VLOOKUP(A58,'Costo Materia Prima'!$D$3:$I$234,6,FALSE)*B58</f>
        <v>26.73</v>
      </c>
      <c r="E58" s="12">
        <f t="shared" si="11"/>
        <v>2.0454545454545454E-2</v>
      </c>
      <c r="F58" t="s">
        <v>735</v>
      </c>
      <c r="G58" s="13">
        <f>[2]PAN!$L$22</f>
        <v>1.9604500106334917</v>
      </c>
      <c r="H58" t="s">
        <v>371</v>
      </c>
      <c r="I58" s="33" t="s">
        <v>381</v>
      </c>
      <c r="J58" s="33">
        <f>J57/2</f>
        <v>0</v>
      </c>
      <c r="K58" s="33">
        <f t="shared" ref="K58:M58" si="15">K57/2</f>
        <v>15.5</v>
      </c>
      <c r="L58" s="33">
        <f t="shared" si="15"/>
        <v>11.5</v>
      </c>
      <c r="M58" s="33">
        <f t="shared" si="15"/>
        <v>6.5</v>
      </c>
      <c r="N58" s="97">
        <f>N57</f>
        <v>198</v>
      </c>
      <c r="O58" s="33">
        <v>0</v>
      </c>
      <c r="P58" s="33">
        <v>4</v>
      </c>
      <c r="Q58" s="33">
        <v>5</v>
      </c>
      <c r="S58" s="33"/>
      <c r="T58" s="91">
        <f>T56*2</f>
        <v>0</v>
      </c>
      <c r="U58" s="91">
        <f t="shared" ref="U58:W58" si="16">U56*2</f>
        <v>43.034062072336262</v>
      </c>
      <c r="V58" s="91">
        <f t="shared" si="16"/>
        <v>58.002431488801051</v>
      </c>
      <c r="W58" s="91">
        <f t="shared" si="16"/>
        <v>102.61968648018647</v>
      </c>
      <c r="X58" s="91">
        <f>X56</f>
        <v>3.3688280915212734</v>
      </c>
      <c r="Y58" s="91">
        <f>Y56</f>
        <v>0</v>
      </c>
      <c r="Z58" s="91">
        <f>Z56*2</f>
        <v>190.57941774891773</v>
      </c>
      <c r="AA58" s="91">
        <f>AA56</f>
        <v>51.309843240093237</v>
      </c>
    </row>
    <row r="59" spans="1:27" x14ac:dyDescent="0.2">
      <c r="A59" s="160" t="s">
        <v>61</v>
      </c>
      <c r="B59" s="113">
        <v>0.1</v>
      </c>
      <c r="C59" s="113" t="s">
        <v>15</v>
      </c>
      <c r="D59" s="6">
        <f>VLOOKUP(A59,'Costo Materia Prima'!$D$3:$I$234,6,FALSE)*B59</f>
        <v>3.5437500000000002</v>
      </c>
      <c r="E59" s="12">
        <f t="shared" si="11"/>
        <v>7.575757575757576E-3</v>
      </c>
      <c r="F59" t="s">
        <v>735</v>
      </c>
      <c r="G59" s="13">
        <f>[2]PAN!$L$21</f>
        <v>3.2492643694758794</v>
      </c>
      <c r="H59" t="s">
        <v>372</v>
      </c>
    </row>
    <row r="60" spans="1:27" x14ac:dyDescent="0.2">
      <c r="A60" s="160" t="s">
        <v>13</v>
      </c>
      <c r="B60" s="113">
        <v>3</v>
      </c>
      <c r="C60" s="113" t="s">
        <v>15</v>
      </c>
      <c r="D60" s="6">
        <f>VLOOKUP(A60,'Costo Materia Prima'!$D$3:$I$234,6,FALSE)*B60</f>
        <v>61.199999999999996</v>
      </c>
      <c r="E60" s="12">
        <f t="shared" si="11"/>
        <v>0.22727272727272727</v>
      </c>
      <c r="F60" t="s">
        <v>735</v>
      </c>
      <c r="G60" s="13">
        <f>[2]PAN!$L$20</f>
        <v>4.8738965542138191</v>
      </c>
      <c r="H60" t="s">
        <v>373</v>
      </c>
    </row>
    <row r="61" spans="1:27" x14ac:dyDescent="0.2">
      <c r="A61" s="160" t="s">
        <v>180</v>
      </c>
      <c r="B61" s="113">
        <v>0.76</v>
      </c>
      <c r="C61" s="113" t="s">
        <v>15</v>
      </c>
      <c r="D61" s="6">
        <f>VLOOKUP(A61,'Costo Materia Prima'!$D$3:$I$234,6,FALSE)*B61</f>
        <v>12.720000000000002</v>
      </c>
      <c r="E61" s="12">
        <f t="shared" si="11"/>
        <v>5.7575757575757572E-2</v>
      </c>
    </row>
    <row r="62" spans="1:27" x14ac:dyDescent="0.2">
      <c r="A62" s="160" t="s">
        <v>230</v>
      </c>
      <c r="B62" s="113">
        <v>4</v>
      </c>
      <c r="C62" s="113" t="s">
        <v>15</v>
      </c>
      <c r="D62" s="6">
        <f>VLOOKUP(A62,'Costo Materia Prima'!$D$3:$I$234,6,FALSE)*B62</f>
        <v>74</v>
      </c>
      <c r="E62" s="12">
        <f t="shared" si="11"/>
        <v>0.30303030303030304</v>
      </c>
    </row>
    <row r="63" spans="1:27" x14ac:dyDescent="0.2">
      <c r="A63" s="160" t="s">
        <v>30</v>
      </c>
      <c r="B63" s="113">
        <v>3</v>
      </c>
      <c r="C63" s="113" t="s">
        <v>18</v>
      </c>
      <c r="D63" s="6">
        <f>VLOOKUP(A63,'Costo Materia Prima'!$D$3:$I$234,6,FALSE)*B63</f>
        <v>123</v>
      </c>
      <c r="E63" s="12">
        <f t="shared" si="11"/>
        <v>0.22727272727272727</v>
      </c>
    </row>
    <row r="64" spans="1:27" x14ac:dyDescent="0.2">
      <c r="A64" s="160" t="s">
        <v>303</v>
      </c>
      <c r="B64" s="113">
        <v>0.09</v>
      </c>
      <c r="C64" s="113" t="s">
        <v>15</v>
      </c>
      <c r="D64" s="6">
        <f>VLOOKUP(A64,'Costo Materia Prima'!$D$3:$I$234,6,FALSE)*B64</f>
        <v>1.32375</v>
      </c>
      <c r="E64" s="12">
        <f t="shared" si="11"/>
        <v>6.8181818181818179E-3</v>
      </c>
    </row>
    <row r="65" spans="1:27" x14ac:dyDescent="0.2">
      <c r="A65" s="160" t="s">
        <v>279</v>
      </c>
      <c r="B65" s="113">
        <v>6.5000000000000002E-2</v>
      </c>
      <c r="C65" s="113" t="s">
        <v>15</v>
      </c>
      <c r="D65" s="6">
        <f>VLOOKUP(A65,'Costo Materia Prima'!$D$3:$I$234,6,FALSE)*B65</f>
        <v>19.056522727272725</v>
      </c>
      <c r="E65" s="12">
        <f t="shared" si="11"/>
        <v>4.9242424242424239E-3</v>
      </c>
    </row>
    <row r="66" spans="1:27" x14ac:dyDescent="0.2">
      <c r="A66" s="160" t="s">
        <v>65</v>
      </c>
      <c r="B66" s="113">
        <v>0.125</v>
      </c>
      <c r="C66" s="113" t="s">
        <v>15</v>
      </c>
      <c r="D66" s="6">
        <f>VLOOKUP(A66,'Costo Materia Prima'!$D$3:$I$234,6,FALSE)*B66</f>
        <v>4.8</v>
      </c>
      <c r="E66" s="12">
        <f t="shared" si="11"/>
        <v>9.46969696969697E-3</v>
      </c>
    </row>
    <row r="67" spans="1:27" x14ac:dyDescent="0.2">
      <c r="B67" s="310" t="s">
        <v>344</v>
      </c>
      <c r="C67" s="310"/>
      <c r="D67" s="111">
        <f>SUM(D55:D66)</f>
        <v>667.02796212121211</v>
      </c>
      <c r="E67" s="32"/>
    </row>
    <row r="68" spans="1:27" x14ac:dyDescent="0.2">
      <c r="D68" s="32"/>
    </row>
    <row r="69" spans="1:27" ht="16" thickBot="1" x14ac:dyDescent="0.25">
      <c r="A69" s="319" t="s">
        <v>385</v>
      </c>
      <c r="B69" s="319"/>
      <c r="C69" s="319"/>
      <c r="D69" s="319"/>
    </row>
    <row r="70" spans="1:27" x14ac:dyDescent="0.2">
      <c r="A70" s="20" t="s">
        <v>341</v>
      </c>
      <c r="B70" s="20" t="s">
        <v>4</v>
      </c>
      <c r="C70" s="20" t="s">
        <v>5</v>
      </c>
      <c r="D70" s="20" t="s">
        <v>7</v>
      </c>
      <c r="F70" s="112" t="s">
        <v>364</v>
      </c>
      <c r="G70" s="112">
        <v>13.624000000000001</v>
      </c>
      <c r="H70" s="20"/>
      <c r="I70" s="318" t="s">
        <v>385</v>
      </c>
      <c r="J70" s="320"/>
      <c r="K70" s="318"/>
      <c r="L70" s="318"/>
      <c r="M70" s="318"/>
      <c r="N70" s="318"/>
      <c r="O70" s="318"/>
      <c r="P70" s="318"/>
      <c r="Q70" s="247"/>
      <c r="S70" s="318" t="s">
        <v>385</v>
      </c>
      <c r="T70" s="318"/>
      <c r="U70" s="318"/>
      <c r="V70" s="318"/>
      <c r="W70" s="318"/>
      <c r="X70" s="318"/>
      <c r="Y70" s="318"/>
      <c r="Z70" s="318"/>
    </row>
    <row r="71" spans="1:27" x14ac:dyDescent="0.2">
      <c r="A71" s="160" t="s">
        <v>132</v>
      </c>
      <c r="B71" s="113">
        <v>48</v>
      </c>
      <c r="C71" s="113" t="s">
        <v>21</v>
      </c>
      <c r="D71" s="6">
        <f>VLOOKUP(A71,'Costo Materia Prima'!$D$3:$I$234,6,FALSE)*B71</f>
        <v>86.671999999999997</v>
      </c>
      <c r="F71" s="112" t="s">
        <v>362</v>
      </c>
      <c r="G71" s="85">
        <f>D76/G70</f>
        <v>29.30831427511821</v>
      </c>
      <c r="I71" s="93" t="s">
        <v>369</v>
      </c>
      <c r="J71" s="70" t="s">
        <v>370</v>
      </c>
      <c r="K71" s="29" t="s">
        <v>371</v>
      </c>
      <c r="L71" s="29" t="s">
        <v>372</v>
      </c>
      <c r="M71" s="29" t="s">
        <v>373</v>
      </c>
      <c r="N71" s="29" t="s">
        <v>374</v>
      </c>
      <c r="O71" s="29" t="s">
        <v>375</v>
      </c>
      <c r="P71" s="29" t="s">
        <v>376</v>
      </c>
      <c r="Q71" s="160"/>
      <c r="S71" s="29" t="s">
        <v>377</v>
      </c>
      <c r="T71" s="70" t="s">
        <v>370</v>
      </c>
      <c r="U71" s="29" t="s">
        <v>371</v>
      </c>
      <c r="V71" s="29" t="s">
        <v>372</v>
      </c>
      <c r="W71" s="29" t="s">
        <v>373</v>
      </c>
      <c r="X71" s="29" t="s">
        <v>374</v>
      </c>
      <c r="Y71" s="29" t="s">
        <v>375</v>
      </c>
      <c r="Z71" s="29" t="s">
        <v>376</v>
      </c>
    </row>
    <row r="72" spans="1:27" x14ac:dyDescent="0.2">
      <c r="A72" s="160" t="s">
        <v>30</v>
      </c>
      <c r="B72" s="113">
        <v>2</v>
      </c>
      <c r="C72" s="113" t="s">
        <v>18</v>
      </c>
      <c r="D72" s="6">
        <f>VLOOKUP(A72,'Costo Materia Prima'!$D$3:$I$234,6,FALSE)*B72</f>
        <v>82</v>
      </c>
      <c r="I72" s="40" t="s">
        <v>378</v>
      </c>
      <c r="J72" s="33">
        <v>0</v>
      </c>
      <c r="K72" s="35">
        <v>0.42499999999999999</v>
      </c>
      <c r="L72" s="41">
        <v>0.64800000000000002</v>
      </c>
      <c r="M72" s="42">
        <v>1.048</v>
      </c>
      <c r="N72" s="52">
        <v>0</v>
      </c>
      <c r="O72" s="52">
        <v>0</v>
      </c>
      <c r="P72" s="31">
        <v>1.6</v>
      </c>
      <c r="Q72" s="160"/>
      <c r="S72" s="29"/>
      <c r="T72" s="53">
        <f t="shared" ref="T72:Z72" si="17">IFERROR($D$76/J73,0)</f>
        <v>0</v>
      </c>
      <c r="U72" s="53">
        <f t="shared" si="17"/>
        <v>12.478014802631579</v>
      </c>
      <c r="V72" s="53">
        <f t="shared" si="17"/>
        <v>19.014117794486214</v>
      </c>
      <c r="W72" s="53">
        <f t="shared" si="17"/>
        <v>30.715113360323887</v>
      </c>
      <c r="X72" s="53">
        <f t="shared" si="17"/>
        <v>0</v>
      </c>
      <c r="Y72" s="53">
        <f t="shared" si="17"/>
        <v>0</v>
      </c>
      <c r="Z72" s="53">
        <f t="shared" si="17"/>
        <v>49.912059210526316</v>
      </c>
    </row>
    <row r="73" spans="1:27" x14ac:dyDescent="0.2">
      <c r="A73" s="160" t="s">
        <v>220</v>
      </c>
      <c r="B73" s="113">
        <v>8</v>
      </c>
      <c r="C73" s="113" t="s">
        <v>15</v>
      </c>
      <c r="D73" s="6">
        <f>VLOOKUP(A73,'Costo Materia Prima'!$D$3:$I$234,6,FALSE)*B73</f>
        <v>226</v>
      </c>
      <c r="I73" s="40" t="s">
        <v>379</v>
      </c>
      <c r="J73" s="97">
        <f t="shared" ref="J73:P73" si="18">IFERROR(ROUNDDOWN($G$70/J72,0),0)</f>
        <v>0</v>
      </c>
      <c r="K73" s="97">
        <f>IFERROR(ROUNDDOWN($G$70/K72,0),0)</f>
        <v>32</v>
      </c>
      <c r="L73" s="97">
        <f t="shared" si="18"/>
        <v>21</v>
      </c>
      <c r="M73" s="97">
        <f t="shared" si="18"/>
        <v>13</v>
      </c>
      <c r="N73" s="97">
        <f t="shared" si="18"/>
        <v>0</v>
      </c>
      <c r="O73" s="97">
        <f t="shared" si="18"/>
        <v>0</v>
      </c>
      <c r="P73" s="97">
        <f t="shared" si="18"/>
        <v>8</v>
      </c>
      <c r="Q73" s="248"/>
      <c r="S73" s="29" t="s">
        <v>380</v>
      </c>
      <c r="T73" s="70" t="s">
        <v>370</v>
      </c>
      <c r="U73" s="29" t="s">
        <v>371</v>
      </c>
      <c r="V73" s="29" t="s">
        <v>372</v>
      </c>
      <c r="W73" s="29" t="s">
        <v>373</v>
      </c>
      <c r="X73" s="29" t="s">
        <v>374</v>
      </c>
      <c r="Y73" s="29" t="s">
        <v>375</v>
      </c>
      <c r="Z73" s="29" t="s">
        <v>376</v>
      </c>
    </row>
    <row r="74" spans="1:27" x14ac:dyDescent="0.2">
      <c r="A74" s="160" t="s">
        <v>200</v>
      </c>
      <c r="B74" s="113">
        <v>2</v>
      </c>
      <c r="C74" s="113" t="s">
        <v>18</v>
      </c>
      <c r="D74" s="6">
        <f>VLOOKUP(A74,'Costo Materia Prima'!$D$3:$I$234,6,FALSE)*B74</f>
        <v>1.7894736842105263</v>
      </c>
      <c r="I74" s="40" t="s">
        <v>381</v>
      </c>
      <c r="J74" s="35">
        <f>J73/2</f>
        <v>0</v>
      </c>
      <c r="K74" s="35">
        <f>K73/2</f>
        <v>16</v>
      </c>
      <c r="L74" s="35">
        <f>L73/2</f>
        <v>10.5</v>
      </c>
      <c r="M74" s="35">
        <f>M73/2</f>
        <v>6.5</v>
      </c>
      <c r="N74" s="52">
        <v>0</v>
      </c>
      <c r="O74" s="33" t="s">
        <v>386</v>
      </c>
      <c r="P74" s="34">
        <v>4</v>
      </c>
      <c r="Q74" s="160"/>
      <c r="S74" s="29"/>
      <c r="T74" s="53">
        <f>T72*2</f>
        <v>0</v>
      </c>
      <c r="U74" s="53">
        <f>U72*2</f>
        <v>24.956029605263158</v>
      </c>
      <c r="V74" s="53">
        <f>V72*2</f>
        <v>38.028235588972429</v>
      </c>
      <c r="W74" s="53">
        <f>W72*2</f>
        <v>61.430226720647774</v>
      </c>
      <c r="X74" s="53">
        <f>X72</f>
        <v>0</v>
      </c>
      <c r="Y74" s="53">
        <f>Y72</f>
        <v>0</v>
      </c>
      <c r="Z74" s="53">
        <f>Z72*2</f>
        <v>99.824118421052631</v>
      </c>
    </row>
    <row r="75" spans="1:27" x14ac:dyDescent="0.2">
      <c r="A75" s="160" t="s">
        <v>61</v>
      </c>
      <c r="B75" s="113">
        <v>0.08</v>
      </c>
      <c r="C75" s="113" t="s">
        <v>15</v>
      </c>
      <c r="D75" s="6">
        <f>VLOOKUP(A75,'Costo Materia Prima'!$D$3:$I$234,6,FALSE)*B75</f>
        <v>2.835</v>
      </c>
    </row>
    <row r="76" spans="1:27" x14ac:dyDescent="0.2">
      <c r="B76" s="310" t="s">
        <v>344</v>
      </c>
      <c r="C76" s="310"/>
      <c r="D76" s="32">
        <f>SUM(D71:D75)</f>
        <v>399.29647368421053</v>
      </c>
    </row>
    <row r="77" spans="1:27" x14ac:dyDescent="0.2">
      <c r="I77" s="160"/>
      <c r="J77" s="160"/>
      <c r="K77" s="160"/>
      <c r="L77" s="160"/>
      <c r="M77" s="160"/>
      <c r="N77" s="160"/>
      <c r="O77" s="160"/>
      <c r="P77" s="160"/>
      <c r="Q77" s="160"/>
    </row>
    <row r="78" spans="1:27" x14ac:dyDescent="0.2">
      <c r="A78" s="310" t="s">
        <v>387</v>
      </c>
      <c r="B78" s="310"/>
      <c r="C78" s="310"/>
      <c r="D78" s="310"/>
    </row>
    <row r="79" spans="1:27" ht="16" thickBot="1" x14ac:dyDescent="0.25">
      <c r="A79" s="158" t="s">
        <v>341</v>
      </c>
      <c r="B79" s="158" t="s">
        <v>4</v>
      </c>
      <c r="C79" s="158" t="s">
        <v>5</v>
      </c>
      <c r="D79" s="158" t="s">
        <v>7</v>
      </c>
      <c r="E79" s="258">
        <f>H79</f>
        <v>0</v>
      </c>
      <c r="F79" s="112" t="s">
        <v>364</v>
      </c>
      <c r="G79" s="112">
        <v>1.88</v>
      </c>
      <c r="H79" s="20"/>
      <c r="I79" s="323" t="s">
        <v>387</v>
      </c>
      <c r="J79" s="324"/>
      <c r="K79" s="324"/>
      <c r="L79" s="324"/>
      <c r="M79" s="324"/>
      <c r="N79" s="324"/>
      <c r="O79" s="324"/>
      <c r="P79" s="324"/>
      <c r="Q79" s="325"/>
      <c r="S79" s="322" t="s">
        <v>387</v>
      </c>
      <c r="T79" s="322"/>
      <c r="U79" s="322"/>
      <c r="V79" s="322"/>
      <c r="W79" s="322"/>
      <c r="X79" s="322"/>
      <c r="Y79" s="322"/>
      <c r="Z79" s="322"/>
      <c r="AA79" s="322"/>
    </row>
    <row r="80" spans="1:27" x14ac:dyDescent="0.2">
      <c r="A80" s="160" t="s">
        <v>137</v>
      </c>
      <c r="B80" s="113">
        <v>1</v>
      </c>
      <c r="C80" s="113" t="s">
        <v>15</v>
      </c>
      <c r="D80" s="6">
        <f>VLOOKUP(A80,'Costo Materia Prima'!$D$3:$I$234,6,FALSE)*B80</f>
        <v>54.022222222222226</v>
      </c>
      <c r="E80" s="12">
        <f>(B80*$E$79)/$G$79</f>
        <v>0</v>
      </c>
      <c r="F80" s="112" t="s">
        <v>362</v>
      </c>
      <c r="G80" s="85">
        <f>D85/G79</f>
        <v>42.402731701816606</v>
      </c>
      <c r="I80" s="33" t="s">
        <v>369</v>
      </c>
      <c r="J80" s="33" t="s">
        <v>370</v>
      </c>
      <c r="K80" s="33" t="s">
        <v>371</v>
      </c>
      <c r="L80" s="33" t="s">
        <v>372</v>
      </c>
      <c r="M80" s="33" t="s">
        <v>373</v>
      </c>
      <c r="N80" s="33" t="s">
        <v>374</v>
      </c>
      <c r="O80" s="33" t="s">
        <v>375</v>
      </c>
      <c r="P80" s="33" t="s">
        <v>376</v>
      </c>
      <c r="Q80" s="33" t="s">
        <v>759</v>
      </c>
      <c r="S80" s="33" t="s">
        <v>377</v>
      </c>
      <c r="T80" s="33" t="s">
        <v>370</v>
      </c>
      <c r="U80" s="33" t="s">
        <v>371</v>
      </c>
      <c r="V80" s="33" t="s">
        <v>372</v>
      </c>
      <c r="W80" s="33" t="s">
        <v>373</v>
      </c>
      <c r="X80" s="33" t="s">
        <v>374</v>
      </c>
      <c r="Y80" s="33" t="s">
        <v>375</v>
      </c>
      <c r="Z80" s="33" t="s">
        <v>376</v>
      </c>
      <c r="AA80" s="33" t="s">
        <v>759</v>
      </c>
    </row>
    <row r="81" spans="1:27" x14ac:dyDescent="0.2">
      <c r="A81" s="160" t="s">
        <v>132</v>
      </c>
      <c r="B81" s="113">
        <v>7</v>
      </c>
      <c r="C81" s="113" t="s">
        <v>21</v>
      </c>
      <c r="D81" s="6">
        <f>VLOOKUP(A81,'Costo Materia Prima'!$D$3:$I$234,6,FALSE)*B81</f>
        <v>12.639666666666665</v>
      </c>
      <c r="E81" s="12">
        <f>(B81*$E$79)/$G$79</f>
        <v>0</v>
      </c>
      <c r="I81" s="33" t="s">
        <v>378</v>
      </c>
      <c r="J81" s="33">
        <v>0.34</v>
      </c>
      <c r="K81" s="87">
        <v>0.38</v>
      </c>
      <c r="L81" s="87">
        <v>0.56999999999999995</v>
      </c>
      <c r="M81" s="87">
        <v>0.89</v>
      </c>
      <c r="N81" s="87">
        <v>7.4999999999999997E-2</v>
      </c>
      <c r="O81" s="87">
        <v>0.18</v>
      </c>
      <c r="P81" s="87">
        <v>2.2000000000000002</v>
      </c>
      <c r="Q81" s="87">
        <v>1.2</v>
      </c>
      <c r="S81" s="33"/>
      <c r="T81" s="91">
        <f>$D$85/J82</f>
        <v>14.416928778617647</v>
      </c>
      <c r="U81" s="91">
        <f t="shared" ref="U81:AA81" si="19">$D$85/K82</f>
        <v>16.11303804669031</v>
      </c>
      <c r="V81" s="91">
        <f t="shared" si="19"/>
        <v>24.169557070035463</v>
      </c>
      <c r="W81" s="91">
        <f t="shared" si="19"/>
        <v>37.738431214616782</v>
      </c>
      <c r="X81" s="91">
        <f>$D$85/N82</f>
        <v>3.1802048776362453</v>
      </c>
      <c r="Y81" s="91">
        <f t="shared" si="19"/>
        <v>7.6324917063269888</v>
      </c>
      <c r="Z81" s="91">
        <f t="shared" si="19"/>
        <v>93.286009743996544</v>
      </c>
      <c r="AA81" s="91">
        <f t="shared" si="19"/>
        <v>50.883278042179924</v>
      </c>
    </row>
    <row r="82" spans="1:27" x14ac:dyDescent="0.2">
      <c r="A82" s="160" t="s">
        <v>200</v>
      </c>
      <c r="B82" s="113">
        <v>0.25</v>
      </c>
      <c r="C82" s="113" t="s">
        <v>15</v>
      </c>
      <c r="D82" s="6">
        <f>VLOOKUP(A82,'Costo Materia Prima'!$D$3:$I$234,6,FALSE)*B82</f>
        <v>0.22368421052631579</v>
      </c>
      <c r="E82" s="12">
        <f>(B82*$E$79)/$G$79</f>
        <v>0</v>
      </c>
      <c r="I82" s="33" t="s">
        <v>379</v>
      </c>
      <c r="J82" s="97">
        <f>$G$79/J81</f>
        <v>5.5294117647058814</v>
      </c>
      <c r="K82" s="97">
        <f>$G$79/K81</f>
        <v>4.947368421052631</v>
      </c>
      <c r="L82" s="97">
        <f t="shared" ref="L82:M82" si="20">$G$79/L81</f>
        <v>3.2982456140350878</v>
      </c>
      <c r="M82" s="97">
        <f t="shared" si="20"/>
        <v>2.1123595505617976</v>
      </c>
      <c r="N82" s="97">
        <f t="shared" ref="N82" si="21">$G$79/N81</f>
        <v>25.066666666666666</v>
      </c>
      <c r="O82" s="97">
        <f t="shared" ref="O82" si="22">$G$79/O81</f>
        <v>10.444444444444445</v>
      </c>
      <c r="P82" s="97">
        <f t="shared" ref="P82:Q82" si="23">$G$79/P81</f>
        <v>0.85454545454545439</v>
      </c>
      <c r="Q82" s="97">
        <f t="shared" si="23"/>
        <v>1.5666666666666667</v>
      </c>
      <c r="S82" s="33" t="s">
        <v>380</v>
      </c>
      <c r="T82" s="33" t="s">
        <v>370</v>
      </c>
      <c r="U82" s="33" t="s">
        <v>371</v>
      </c>
      <c r="V82" s="33" t="s">
        <v>372</v>
      </c>
      <c r="W82" s="33" t="s">
        <v>373</v>
      </c>
      <c r="X82" s="33" t="s">
        <v>374</v>
      </c>
      <c r="Y82" s="33" t="s">
        <v>375</v>
      </c>
      <c r="Z82" s="33" t="s">
        <v>376</v>
      </c>
      <c r="AA82" s="33" t="s">
        <v>376</v>
      </c>
    </row>
    <row r="83" spans="1:27" x14ac:dyDescent="0.2">
      <c r="A83" s="160" t="s">
        <v>30</v>
      </c>
      <c r="B83" s="113">
        <v>0.3</v>
      </c>
      <c r="C83" s="113" t="s">
        <v>15</v>
      </c>
      <c r="D83" s="6">
        <f>VLOOKUP(A83,'Costo Materia Prima'!$D$3:$I$234,6,FALSE)*B83</f>
        <v>12.299999999999999</v>
      </c>
      <c r="E83" s="12">
        <f>(B83*$E$79)/$G$79</f>
        <v>0</v>
      </c>
      <c r="I83" s="33" t="s">
        <v>381</v>
      </c>
      <c r="J83" s="97">
        <f>J82</f>
        <v>5.5294117647058814</v>
      </c>
      <c r="K83" s="97">
        <f>K82/2</f>
        <v>2.4736842105263155</v>
      </c>
      <c r="L83" s="97">
        <f t="shared" ref="L83:O83" si="24">L82/2</f>
        <v>1.6491228070175439</v>
      </c>
      <c r="M83" s="97">
        <f t="shared" si="24"/>
        <v>1.0561797752808988</v>
      </c>
      <c r="N83" s="97">
        <f t="shared" si="24"/>
        <v>12.533333333333333</v>
      </c>
      <c r="O83" s="97">
        <f t="shared" si="24"/>
        <v>5.2222222222222223</v>
      </c>
      <c r="P83" s="97">
        <f>P82/2</f>
        <v>0.42727272727272719</v>
      </c>
      <c r="Q83" s="97">
        <f>Q82/2</f>
        <v>0.78333333333333333</v>
      </c>
      <c r="S83" s="33"/>
      <c r="T83" s="91">
        <f>T81</f>
        <v>14.416928778617647</v>
      </c>
      <c r="U83" s="91">
        <f>U81*2</f>
        <v>32.22607609338062</v>
      </c>
      <c r="V83" s="91">
        <f t="shared" ref="V83:W83" si="25">V81*2</f>
        <v>48.339114140070926</v>
      </c>
      <c r="W83" s="91">
        <f t="shared" si="25"/>
        <v>75.476862429233563</v>
      </c>
      <c r="X83" s="91">
        <f>X81</f>
        <v>3.1802048776362453</v>
      </c>
      <c r="Y83" s="91">
        <f>Y81</f>
        <v>7.6324917063269888</v>
      </c>
      <c r="Z83" s="91">
        <f>Z81*2</f>
        <v>186.57201948799309</v>
      </c>
      <c r="AA83" s="91">
        <f>AA81</f>
        <v>50.883278042179924</v>
      </c>
    </row>
    <row r="84" spans="1:27" x14ac:dyDescent="0.2">
      <c r="A84" s="160" t="s">
        <v>61</v>
      </c>
      <c r="B84" s="113">
        <v>1.4999999999999999E-2</v>
      </c>
      <c r="C84" s="113" t="s">
        <v>15</v>
      </c>
      <c r="D84" s="6">
        <f>VLOOKUP(A84,'Costo Materia Prima'!$D$3:$I$234,6,FALSE)*B84</f>
        <v>0.53156249999999994</v>
      </c>
      <c r="E84" s="12">
        <f>(B84*$E$79)/$G$79</f>
        <v>0</v>
      </c>
    </row>
    <row r="85" spans="1:27" x14ac:dyDescent="0.2">
      <c r="B85" s="310" t="s">
        <v>344</v>
      </c>
      <c r="C85" s="310"/>
      <c r="D85" s="32">
        <f>SUM(D80:D84)</f>
        <v>79.717135599415215</v>
      </c>
    </row>
    <row r="87" spans="1:27" x14ac:dyDescent="0.2">
      <c r="A87" s="310" t="s">
        <v>388</v>
      </c>
      <c r="B87" s="310"/>
      <c r="C87" s="310"/>
      <c r="D87" s="310"/>
    </row>
    <row r="88" spans="1:27" ht="16" thickBot="1" x14ac:dyDescent="0.25">
      <c r="A88" s="158" t="s">
        <v>341</v>
      </c>
      <c r="B88" s="158" t="s">
        <v>4</v>
      </c>
      <c r="C88" s="158" t="s">
        <v>5</v>
      </c>
      <c r="D88" s="158" t="s">
        <v>7</v>
      </c>
      <c r="E88" s="258">
        <f>M90</f>
        <v>1.5</v>
      </c>
      <c r="F88" s="112" t="s">
        <v>364</v>
      </c>
      <c r="G88" s="117">
        <v>15</v>
      </c>
      <c r="H88" s="20"/>
      <c r="I88" s="318" t="s">
        <v>388</v>
      </c>
      <c r="J88" s="320"/>
      <c r="K88" s="318"/>
      <c r="L88" s="318"/>
      <c r="M88" s="318"/>
      <c r="N88" s="318"/>
      <c r="O88" s="318"/>
      <c r="P88" s="318"/>
      <c r="Q88" s="247"/>
      <c r="S88" s="318" t="s">
        <v>388</v>
      </c>
      <c r="T88" s="318"/>
      <c r="U88" s="318"/>
      <c r="V88" s="318"/>
      <c r="W88" s="318"/>
      <c r="X88" s="318"/>
      <c r="Y88" s="318"/>
      <c r="Z88" s="318"/>
    </row>
    <row r="89" spans="1:27" x14ac:dyDescent="0.2">
      <c r="A89" s="160" t="s">
        <v>132</v>
      </c>
      <c r="B89" s="113">
        <v>48</v>
      </c>
      <c r="C89" s="113" t="s">
        <v>21</v>
      </c>
      <c r="D89" s="6">
        <f>VLOOKUP(A89,'Costo Materia Prima'!$D$3:$I$234,6,FALSE)*B89</f>
        <v>86.671999999999997</v>
      </c>
      <c r="E89">
        <f t="shared" ref="E89:E96" si="26">(B89*$E$88)/$G$88</f>
        <v>4.8</v>
      </c>
      <c r="F89" s="112" t="s">
        <v>624</v>
      </c>
      <c r="G89" s="85">
        <f>D97/G88</f>
        <v>64.063929105392148</v>
      </c>
      <c r="I89" s="29" t="s">
        <v>369</v>
      </c>
      <c r="J89" s="70" t="s">
        <v>370</v>
      </c>
      <c r="K89" s="29" t="s">
        <v>371</v>
      </c>
      <c r="L89" s="29" t="s">
        <v>372</v>
      </c>
      <c r="M89" s="29" t="s">
        <v>373</v>
      </c>
      <c r="N89" s="29" t="s">
        <v>374</v>
      </c>
      <c r="O89" s="29" t="s">
        <v>375</v>
      </c>
      <c r="P89" s="29" t="s">
        <v>376</v>
      </c>
      <c r="Q89" s="160"/>
      <c r="S89" s="29" t="s">
        <v>377</v>
      </c>
      <c r="T89" s="70" t="s">
        <v>370</v>
      </c>
      <c r="U89" s="29" t="s">
        <v>371</v>
      </c>
      <c r="V89" s="29" t="s">
        <v>372</v>
      </c>
      <c r="W89" s="29" t="s">
        <v>373</v>
      </c>
      <c r="X89" s="29" t="s">
        <v>374</v>
      </c>
      <c r="Y89" s="29" t="s">
        <v>375</v>
      </c>
      <c r="Z89" s="29" t="s">
        <v>376</v>
      </c>
    </row>
    <row r="90" spans="1:27" x14ac:dyDescent="0.2">
      <c r="A90" s="160" t="s">
        <v>187</v>
      </c>
      <c r="B90" s="113">
        <v>4</v>
      </c>
      <c r="C90" s="113" t="s">
        <v>18</v>
      </c>
      <c r="D90" s="6">
        <f>VLOOKUP(A90,'Costo Materia Prima'!$D$3:$I$234,6,FALSE)*B90</f>
        <v>228.74799999999999</v>
      </c>
      <c r="E90">
        <f t="shared" si="26"/>
        <v>0.4</v>
      </c>
      <c r="I90" s="40" t="s">
        <v>378</v>
      </c>
      <c r="J90" s="33">
        <v>0.3</v>
      </c>
      <c r="K90" s="63">
        <v>0.6</v>
      </c>
      <c r="L90" s="63">
        <v>1</v>
      </c>
      <c r="M90" s="63">
        <v>1.5</v>
      </c>
      <c r="N90" s="64">
        <v>0</v>
      </c>
      <c r="O90" s="64">
        <v>0</v>
      </c>
      <c r="P90" s="65">
        <v>0</v>
      </c>
      <c r="Q90" s="45"/>
      <c r="S90" s="29"/>
      <c r="T90" s="53">
        <f>IFERROR($D$97/J91,0)</f>
        <v>19.219178731617646</v>
      </c>
      <c r="U90" s="53">
        <f>IFERROR($D$97/K91,0)</f>
        <v>38.438357463235292</v>
      </c>
      <c r="V90" s="53">
        <f>IFERROR($D$97/L91,0)</f>
        <v>64.063929105392148</v>
      </c>
      <c r="W90" s="53">
        <f>IFERROR($D$97/M91,0)</f>
        <v>96.095893658088215</v>
      </c>
      <c r="X90" s="53">
        <f>IFERROR($D$85/N91,0)</f>
        <v>0</v>
      </c>
      <c r="Y90" s="53">
        <f>IFERROR($D$85/O91,0)</f>
        <v>0</v>
      </c>
      <c r="Z90" s="53">
        <f>IFERROR($D$85/P91,0)</f>
        <v>0</v>
      </c>
    </row>
    <row r="91" spans="1:27" x14ac:dyDescent="0.2">
      <c r="A91" s="160" t="s">
        <v>311</v>
      </c>
      <c r="B91" s="113">
        <v>1.2</v>
      </c>
      <c r="C91" s="113" t="s">
        <v>15</v>
      </c>
      <c r="D91" s="6">
        <f>VLOOKUP(A91,'Costo Materia Prima'!$D$3:$I$234,6,FALSE)*B91</f>
        <v>186</v>
      </c>
      <c r="E91">
        <f t="shared" si="26"/>
        <v>0.11999999999999998</v>
      </c>
      <c r="F91" t="s">
        <v>735</v>
      </c>
      <c r="G91" s="13">
        <f>[2]PAN!$L$29</f>
        <v>2.4048751074686252</v>
      </c>
      <c r="H91" t="s">
        <v>370</v>
      </c>
      <c r="I91" s="40" t="s">
        <v>379</v>
      </c>
      <c r="J91" s="94">
        <f>IFERROR($G$88/J90,0)</f>
        <v>50</v>
      </c>
      <c r="K91" s="94">
        <f>IFERROR($G$88/K90,0)</f>
        <v>25</v>
      </c>
      <c r="L91" s="66">
        <f t="shared" ref="L91:P91" si="27">IFERROR($G$88/L90,0)</f>
        <v>15</v>
      </c>
      <c r="M91" s="66">
        <f t="shared" si="27"/>
        <v>10</v>
      </c>
      <c r="N91" s="66">
        <f t="shared" si="27"/>
        <v>0</v>
      </c>
      <c r="O91" s="66">
        <f t="shared" si="27"/>
        <v>0</v>
      </c>
      <c r="P91" s="66">
        <f t="shared" si="27"/>
        <v>0</v>
      </c>
      <c r="Q91" s="248"/>
      <c r="S91" s="29" t="s">
        <v>380</v>
      </c>
      <c r="T91" s="70" t="s">
        <v>370</v>
      </c>
      <c r="U91" s="29" t="s">
        <v>371</v>
      </c>
      <c r="V91" s="29" t="s">
        <v>372</v>
      </c>
      <c r="W91" s="29" t="s">
        <v>373</v>
      </c>
      <c r="X91" s="29" t="s">
        <v>374</v>
      </c>
      <c r="Y91" s="29" t="s">
        <v>375</v>
      </c>
      <c r="Z91" s="29" t="s">
        <v>376</v>
      </c>
    </row>
    <row r="92" spans="1:27" x14ac:dyDescent="0.2">
      <c r="A92" s="205" t="s">
        <v>26</v>
      </c>
      <c r="B92" s="206">
        <v>0</v>
      </c>
      <c r="C92" s="206" t="s">
        <v>18</v>
      </c>
      <c r="D92" s="207">
        <f>VLOOKUP(A92,'Costo Materia Prima'!$D$3:$I$234,6,FALSE)*B92</f>
        <v>0</v>
      </c>
      <c r="E92">
        <f t="shared" si="26"/>
        <v>0</v>
      </c>
      <c r="F92" t="s">
        <v>735</v>
      </c>
      <c r="G92" s="13">
        <f>[2]PAN!$L$28</f>
        <v>5.2907252364309754</v>
      </c>
      <c r="H92" t="s">
        <v>371</v>
      </c>
      <c r="I92" s="40" t="s">
        <v>381</v>
      </c>
      <c r="J92" s="94">
        <f>J91/1</f>
        <v>50</v>
      </c>
      <c r="K92" s="94">
        <f>K91/1</f>
        <v>25</v>
      </c>
      <c r="L92" s="66">
        <f t="shared" ref="L92:P92" si="28">L91/1</f>
        <v>15</v>
      </c>
      <c r="M92" s="66">
        <f t="shared" si="28"/>
        <v>10</v>
      </c>
      <c r="N92" s="66">
        <f t="shared" si="28"/>
        <v>0</v>
      </c>
      <c r="O92" s="66">
        <f t="shared" si="28"/>
        <v>0</v>
      </c>
      <c r="P92" s="66">
        <f t="shared" si="28"/>
        <v>0</v>
      </c>
      <c r="Q92" s="248"/>
      <c r="S92" s="29"/>
      <c r="T92" s="53">
        <f>T90*1</f>
        <v>19.219178731617646</v>
      </c>
      <c r="U92" s="53">
        <f>U90*1</f>
        <v>38.438357463235292</v>
      </c>
      <c r="V92" s="53">
        <f t="shared" ref="V92:Z92" si="29">V90*1</f>
        <v>64.063929105392148</v>
      </c>
      <c r="W92" s="53">
        <f t="shared" si="29"/>
        <v>96.095893658088215</v>
      </c>
      <c r="X92" s="53">
        <f t="shared" si="29"/>
        <v>0</v>
      </c>
      <c r="Y92" s="53">
        <f t="shared" si="29"/>
        <v>0</v>
      </c>
      <c r="Z92" s="53">
        <f t="shared" si="29"/>
        <v>0</v>
      </c>
    </row>
    <row r="93" spans="1:27" x14ac:dyDescent="0.2">
      <c r="A93" s="160" t="s">
        <v>22</v>
      </c>
      <c r="B93" s="113">
        <f>0.48*4</f>
        <v>1.92</v>
      </c>
      <c r="C93" s="113" t="s">
        <v>650</v>
      </c>
      <c r="D93" s="6">
        <f>VLOOKUP(A93,'Costo Materia Prima'!$D$3:$I$234,6,FALSE)*B93</f>
        <v>112</v>
      </c>
      <c r="E93">
        <f t="shared" si="26"/>
        <v>0.192</v>
      </c>
      <c r="F93" t="s">
        <v>735</v>
      </c>
      <c r="G93" s="13">
        <f>[2]PAN!$L$27</f>
        <v>8.8178753940516259</v>
      </c>
      <c r="H93" t="s">
        <v>372</v>
      </c>
    </row>
    <row r="94" spans="1:27" x14ac:dyDescent="0.2">
      <c r="A94" s="160" t="s">
        <v>222</v>
      </c>
      <c r="B94" s="113">
        <v>0.5</v>
      </c>
      <c r="C94" s="113" t="s">
        <v>15</v>
      </c>
      <c r="D94" s="6">
        <f>VLOOKUP(A94,'Costo Materia Prima'!$D$3:$I$234,6,FALSE)*B94</f>
        <v>10.72</v>
      </c>
      <c r="E94">
        <f t="shared" si="26"/>
        <v>0.05</v>
      </c>
      <c r="F94" t="s">
        <v>735</v>
      </c>
      <c r="G94" s="13">
        <f>[2]PAN!$L$26</f>
        <v>13.226813091077439</v>
      </c>
      <c r="H94" t="s">
        <v>373</v>
      </c>
    </row>
    <row r="95" spans="1:27" x14ac:dyDescent="0.2">
      <c r="A95" s="160" t="s">
        <v>185</v>
      </c>
      <c r="B95" s="113">
        <v>5.2859999999999996</v>
      </c>
      <c r="C95" s="113" t="s">
        <v>15</v>
      </c>
      <c r="D95" s="6">
        <f>VLOOKUP(A95,'Costo Materia Prima'!$D$3:$I$234,6,FALSE)*B95</f>
        <v>329.85676470588231</v>
      </c>
      <c r="E95">
        <f t="shared" si="26"/>
        <v>0.52859999999999996</v>
      </c>
    </row>
    <row r="96" spans="1:27" x14ac:dyDescent="0.2">
      <c r="A96" s="160" t="s">
        <v>183</v>
      </c>
      <c r="B96" s="113">
        <v>0.1</v>
      </c>
      <c r="C96" s="113" t="s">
        <v>18</v>
      </c>
      <c r="D96" s="6">
        <f>VLOOKUP(A96,'Costo Materia Prima'!$D$3:$I$234,6,FALSE)*B96</f>
        <v>6.9621718750000001</v>
      </c>
      <c r="E96">
        <f t="shared" si="26"/>
        <v>1.0000000000000002E-2</v>
      </c>
    </row>
    <row r="97" spans="1:35" x14ac:dyDescent="0.2">
      <c r="B97" s="310" t="s">
        <v>344</v>
      </c>
      <c r="C97" s="310"/>
      <c r="D97" s="32">
        <f>SUM(D89:D96)</f>
        <v>960.95893658088221</v>
      </c>
    </row>
    <row r="98" spans="1:35" x14ac:dyDescent="0.2">
      <c r="AB98" s="277"/>
      <c r="AC98" s="277"/>
    </row>
    <row r="99" spans="1:35" x14ac:dyDescent="0.2">
      <c r="A99" s="310" t="s">
        <v>389</v>
      </c>
      <c r="B99" s="310"/>
      <c r="C99" s="310"/>
      <c r="D99" s="310"/>
      <c r="AB99" s="317" t="s">
        <v>804</v>
      </c>
      <c r="AC99" s="317"/>
    </row>
    <row r="100" spans="1:35" ht="16" thickBot="1" x14ac:dyDescent="0.25">
      <c r="A100" s="158" t="s">
        <v>341</v>
      </c>
      <c r="B100" s="158" t="s">
        <v>4</v>
      </c>
      <c r="C100" s="158" t="s">
        <v>5</v>
      </c>
      <c r="D100" s="158" t="s">
        <v>7</v>
      </c>
      <c r="E100" s="258">
        <f>L102</f>
        <v>1.1000000000000001</v>
      </c>
      <c r="F100" s="112" t="s">
        <v>364</v>
      </c>
      <c r="G100" s="112">
        <v>41.2</v>
      </c>
      <c r="H100" s="20"/>
      <c r="I100" s="318" t="s">
        <v>389</v>
      </c>
      <c r="J100" s="318"/>
      <c r="K100" s="318"/>
      <c r="L100" s="318"/>
      <c r="M100" s="318"/>
      <c r="N100" s="318"/>
      <c r="O100" s="318"/>
      <c r="P100" s="318"/>
      <c r="Q100" s="247"/>
      <c r="S100" s="318" t="s">
        <v>389</v>
      </c>
      <c r="T100" s="318"/>
      <c r="U100" s="318"/>
      <c r="V100" s="318"/>
      <c r="W100" s="318"/>
      <c r="X100" s="318"/>
      <c r="Y100" s="318"/>
      <c r="Z100" s="318"/>
      <c r="AB100" s="317"/>
      <c r="AC100" s="317"/>
    </row>
    <row r="101" spans="1:35" x14ac:dyDescent="0.2">
      <c r="A101" s="160" t="s">
        <v>230</v>
      </c>
      <c r="B101" s="113">
        <v>12</v>
      </c>
      <c r="C101" s="113" t="s">
        <v>15</v>
      </c>
      <c r="D101" s="6">
        <f>VLOOKUP(A101,'Costo Materia Prima'!$D$3:$I$234,6,FALSE)*B101</f>
        <v>222</v>
      </c>
      <c r="E101" s="12">
        <f t="shared" ref="E101:E106" si="30">(B101*$E$100)/$G$100</f>
        <v>0.32038834951456313</v>
      </c>
      <c r="F101" s="112" t="s">
        <v>362</v>
      </c>
      <c r="G101" s="85">
        <f>D107/G100</f>
        <v>24.674121435072809</v>
      </c>
      <c r="I101" s="29" t="s">
        <v>369</v>
      </c>
      <c r="J101" s="70" t="s">
        <v>370</v>
      </c>
      <c r="K101" s="29" t="s">
        <v>371</v>
      </c>
      <c r="L101" s="29" t="s">
        <v>372</v>
      </c>
      <c r="M101" s="29" t="s">
        <v>373</v>
      </c>
      <c r="N101" s="29" t="s">
        <v>374</v>
      </c>
      <c r="O101" s="29" t="s">
        <v>375</v>
      </c>
      <c r="P101" s="29" t="s">
        <v>376</v>
      </c>
      <c r="Q101" s="160"/>
      <c r="S101" s="29" t="s">
        <v>377</v>
      </c>
      <c r="T101" s="70" t="s">
        <v>370</v>
      </c>
      <c r="U101" s="29" t="s">
        <v>371</v>
      </c>
      <c r="V101" s="29" t="s">
        <v>372</v>
      </c>
      <c r="W101" s="29" t="s">
        <v>373</v>
      </c>
      <c r="X101" s="29" t="s">
        <v>374</v>
      </c>
      <c r="Y101" s="29" t="s">
        <v>375</v>
      </c>
      <c r="Z101" s="29" t="s">
        <v>376</v>
      </c>
      <c r="AB101" s="278">
        <v>26</v>
      </c>
      <c r="AC101" s="279">
        <v>27.14</v>
      </c>
    </row>
    <row r="102" spans="1:35" ht="16" thickBot="1" x14ac:dyDescent="0.25">
      <c r="A102" s="160" t="s">
        <v>132</v>
      </c>
      <c r="B102" s="113">
        <v>216</v>
      </c>
      <c r="C102" s="113" t="s">
        <v>21</v>
      </c>
      <c r="D102" s="6">
        <f>VLOOKUP(A102,'Costo Materia Prima'!$D$3:$I$234,6,FALSE)*B102</f>
        <v>390.02399999999994</v>
      </c>
      <c r="E102" s="12">
        <f t="shared" si="30"/>
        <v>5.766990291262136</v>
      </c>
      <c r="I102" s="40" t="s">
        <v>378</v>
      </c>
      <c r="J102" s="33">
        <v>0</v>
      </c>
      <c r="K102" s="63">
        <v>0</v>
      </c>
      <c r="L102" s="63">
        <v>1.1000000000000001</v>
      </c>
      <c r="M102" s="63">
        <v>2.1</v>
      </c>
      <c r="N102" s="64">
        <v>0</v>
      </c>
      <c r="O102" s="64">
        <v>0.12</v>
      </c>
      <c r="P102" s="65">
        <v>0</v>
      </c>
      <c r="Q102" s="45"/>
      <c r="S102" s="29"/>
      <c r="T102" s="53">
        <f t="shared" ref="T102:Z102" si="31">IFERROR($D$107/J103,0)</f>
        <v>0</v>
      </c>
      <c r="U102" s="53">
        <f t="shared" si="31"/>
        <v>0</v>
      </c>
      <c r="V102" s="53">
        <f>IFERROR($D$107/L103,0)</f>
        <v>27.141533578580091</v>
      </c>
      <c r="W102" s="53">
        <f t="shared" si="31"/>
        <v>51.815655013652901</v>
      </c>
      <c r="X102" s="53">
        <f t="shared" si="31"/>
        <v>0</v>
      </c>
      <c r="Y102" s="53">
        <f>IFERROR($D$107/O103,0)</f>
        <v>2.960894572208737</v>
      </c>
      <c r="Z102" s="53">
        <f t="shared" si="31"/>
        <v>0</v>
      </c>
      <c r="AB102" s="280"/>
      <c r="AC102" s="280"/>
    </row>
    <row r="103" spans="1:35" ht="16" thickTop="1" x14ac:dyDescent="0.2">
      <c r="A103" s="160" t="s">
        <v>26</v>
      </c>
      <c r="B103" s="113">
        <v>6</v>
      </c>
      <c r="C103" s="113" t="s">
        <v>18</v>
      </c>
      <c r="D103" s="6">
        <f>VLOOKUP(A103,'Costo Materia Prima'!$D$3:$I$234,6,FALSE)*B103</f>
        <v>117.30000000000001</v>
      </c>
      <c r="E103" s="12">
        <f t="shared" si="30"/>
        <v>0.16019417475728157</v>
      </c>
      <c r="F103" t="s">
        <v>735</v>
      </c>
      <c r="G103" s="13">
        <f>[2]PAN!$L$25</f>
        <v>0.78442226907407386</v>
      </c>
      <c r="H103" t="s">
        <v>375</v>
      </c>
      <c r="I103" s="40" t="s">
        <v>379</v>
      </c>
      <c r="J103" s="66">
        <f t="shared" ref="J103:P103" si="32">IFERROR($G$100/J102,0)</f>
        <v>0</v>
      </c>
      <c r="K103" s="66">
        <f>IFERROR($G$100/K102,0)</f>
        <v>0</v>
      </c>
      <c r="L103" s="66">
        <f t="shared" si="32"/>
        <v>37.454545454545453</v>
      </c>
      <c r="M103" s="66">
        <f t="shared" si="32"/>
        <v>19.61904761904762</v>
      </c>
      <c r="N103" s="66">
        <f t="shared" si="32"/>
        <v>0</v>
      </c>
      <c r="O103" s="66">
        <f t="shared" si="32"/>
        <v>343.33333333333337</v>
      </c>
      <c r="P103" s="66">
        <f t="shared" si="32"/>
        <v>0</v>
      </c>
      <c r="Q103" s="248"/>
      <c r="S103" s="29" t="s">
        <v>380</v>
      </c>
      <c r="T103" s="70" t="s">
        <v>370</v>
      </c>
      <c r="U103" s="29" t="s">
        <v>371</v>
      </c>
      <c r="V103" s="29" t="s">
        <v>372</v>
      </c>
      <c r="W103" s="29" t="s">
        <v>373</v>
      </c>
      <c r="X103" s="29" t="s">
        <v>374</v>
      </c>
      <c r="Y103" s="29" t="s">
        <v>375</v>
      </c>
      <c r="Z103" s="29" t="s">
        <v>376</v>
      </c>
      <c r="AB103" s="281" t="s">
        <v>805</v>
      </c>
      <c r="AC103" s="282">
        <f>AB101*AC101</f>
        <v>705.64</v>
      </c>
    </row>
    <row r="104" spans="1:35" x14ac:dyDescent="0.2">
      <c r="A104" s="160" t="s">
        <v>13</v>
      </c>
      <c r="B104" s="113">
        <v>12</v>
      </c>
      <c r="C104" s="113" t="s">
        <v>15</v>
      </c>
      <c r="D104" s="6">
        <f>VLOOKUP(A104,'Costo Materia Prima'!$D$3:$I$234,6,FALSE)*B104</f>
        <v>244.79999999999998</v>
      </c>
      <c r="E104" s="12">
        <f t="shared" si="30"/>
        <v>0.32038834951456313</v>
      </c>
      <c r="F104" t="s">
        <v>735</v>
      </c>
      <c r="G104" s="13">
        <v>0</v>
      </c>
      <c r="H104" t="s">
        <v>371</v>
      </c>
      <c r="I104" s="40" t="s">
        <v>381</v>
      </c>
      <c r="J104" s="66">
        <f t="shared" ref="J104:P104" si="33">J103/1</f>
        <v>0</v>
      </c>
      <c r="K104" s="66">
        <f t="shared" si="33"/>
        <v>0</v>
      </c>
      <c r="L104" s="66">
        <f t="shared" si="33"/>
        <v>37.454545454545453</v>
      </c>
      <c r="M104" s="66">
        <f t="shared" si="33"/>
        <v>19.61904761904762</v>
      </c>
      <c r="N104" s="66">
        <f t="shared" si="33"/>
        <v>0</v>
      </c>
      <c r="O104" s="66">
        <f t="shared" si="33"/>
        <v>343.33333333333337</v>
      </c>
      <c r="P104" s="66">
        <f t="shared" si="33"/>
        <v>0</v>
      </c>
      <c r="Q104" s="248"/>
      <c r="S104" s="29"/>
      <c r="T104" s="53">
        <f>T102*1</f>
        <v>0</v>
      </c>
      <c r="U104" s="53">
        <f>U102*1</f>
        <v>0</v>
      </c>
      <c r="V104" s="53">
        <f>V102*1</f>
        <v>27.141533578580091</v>
      </c>
      <c r="W104" s="53">
        <f t="shared" ref="W104:Z104" si="34">W102*1</f>
        <v>51.815655013652901</v>
      </c>
      <c r="X104" s="53">
        <f t="shared" si="34"/>
        <v>0</v>
      </c>
      <c r="Y104" s="53">
        <f t="shared" si="34"/>
        <v>2.960894572208737</v>
      </c>
      <c r="Z104" s="53">
        <f t="shared" si="34"/>
        <v>0</v>
      </c>
      <c r="AB104" s="277"/>
      <c r="AC104" s="277"/>
    </row>
    <row r="105" spans="1:35" x14ac:dyDescent="0.2">
      <c r="A105" s="160" t="s">
        <v>183</v>
      </c>
      <c r="B105" s="113">
        <v>0.06</v>
      </c>
      <c r="C105" s="113" t="s">
        <v>18</v>
      </c>
      <c r="D105" s="6">
        <f>VLOOKUP(A105,'Costo Materia Prima'!$D$3:$I$234,6,FALSE)*B105</f>
        <v>4.1773031249999999</v>
      </c>
      <c r="E105" s="12">
        <f t="shared" si="30"/>
        <v>1.6019417475728155E-3</v>
      </c>
      <c r="F105" t="s">
        <v>735</v>
      </c>
      <c r="G105" s="13">
        <f>[2]PAN!$L$24</f>
        <v>5.8831670180555546</v>
      </c>
      <c r="H105" t="s">
        <v>372</v>
      </c>
    </row>
    <row r="106" spans="1:35" x14ac:dyDescent="0.2">
      <c r="A106" s="160" t="s">
        <v>61</v>
      </c>
      <c r="B106" s="113">
        <v>1.08</v>
      </c>
      <c r="C106" s="113" t="s">
        <v>15</v>
      </c>
      <c r="D106" s="6">
        <f>VLOOKUP(A106,'Costo Materia Prima'!$D$3:$I$234,6,FALSE)*B106</f>
        <v>38.272500000000001</v>
      </c>
      <c r="E106" s="12">
        <f t="shared" si="30"/>
        <v>2.8834951456310681E-2</v>
      </c>
      <c r="F106" t="s">
        <v>735</v>
      </c>
      <c r="G106" s="13">
        <v>0</v>
      </c>
      <c r="H106" t="s">
        <v>373</v>
      </c>
    </row>
    <row r="107" spans="1:35" x14ac:dyDescent="0.2">
      <c r="B107" s="310" t="s">
        <v>344</v>
      </c>
      <c r="C107" s="310"/>
      <c r="D107" s="32">
        <f>SUM(D101:D106)</f>
        <v>1016.5738031249998</v>
      </c>
    </row>
    <row r="109" spans="1:35" x14ac:dyDescent="0.2">
      <c r="A109" s="310" t="s">
        <v>390</v>
      </c>
      <c r="B109" s="310"/>
      <c r="C109" s="310"/>
      <c r="D109" s="310"/>
    </row>
    <row r="110" spans="1:35" ht="16" thickBot="1" x14ac:dyDescent="0.25">
      <c r="A110" s="158" t="s">
        <v>341</v>
      </c>
      <c r="B110" s="158" t="s">
        <v>4</v>
      </c>
      <c r="C110" s="158" t="s">
        <v>5</v>
      </c>
      <c r="D110" s="158" t="s">
        <v>7</v>
      </c>
      <c r="E110" s="258">
        <f>H110</f>
        <v>0.04</v>
      </c>
      <c r="F110" s="112" t="s">
        <v>364</v>
      </c>
      <c r="G110" s="112">
        <v>1.87</v>
      </c>
      <c r="H110" s="20">
        <v>0.04</v>
      </c>
      <c r="I110" s="321" t="s">
        <v>390</v>
      </c>
      <c r="J110" s="321"/>
      <c r="K110" s="321"/>
      <c r="L110" s="321"/>
      <c r="M110" s="321"/>
      <c r="N110" s="321"/>
      <c r="O110" s="321"/>
      <c r="P110" s="321"/>
      <c r="Q110" s="321"/>
      <c r="S110" s="321" t="s">
        <v>390</v>
      </c>
      <c r="T110" s="321"/>
      <c r="U110" s="321"/>
      <c r="V110" s="321"/>
      <c r="W110" s="321"/>
      <c r="X110" s="321"/>
      <c r="Y110" s="321"/>
      <c r="Z110" s="321"/>
      <c r="AA110" s="321"/>
    </row>
    <row r="111" spans="1:35" x14ac:dyDescent="0.2">
      <c r="A111" s="160" t="s">
        <v>141</v>
      </c>
      <c r="B111" s="113">
        <v>1</v>
      </c>
      <c r="C111" s="113" t="s">
        <v>15</v>
      </c>
      <c r="D111" s="6">
        <f>VLOOKUP(A111,'Costo Materia Prima'!$D$3:$I$234,6,FALSE)*B111</f>
        <v>44.607093866353125</v>
      </c>
      <c r="E111" s="12">
        <f>(B111*$E$110)/$G$110</f>
        <v>2.1390374331550801E-2</v>
      </c>
      <c r="F111" s="112" t="s">
        <v>362</v>
      </c>
      <c r="G111" s="85">
        <f>IFERROR(D116/G110,D116)</f>
        <v>37.53780467569311</v>
      </c>
      <c r="I111" s="33" t="s">
        <v>369</v>
      </c>
      <c r="J111" s="33" t="s">
        <v>370</v>
      </c>
      <c r="K111" s="33" t="s">
        <v>371</v>
      </c>
      <c r="L111" s="33" t="s">
        <v>372</v>
      </c>
      <c r="M111" s="33" t="s">
        <v>373</v>
      </c>
      <c r="N111" s="33" t="s">
        <v>374</v>
      </c>
      <c r="O111" s="33" t="s">
        <v>375</v>
      </c>
      <c r="P111" s="33" t="s">
        <v>376</v>
      </c>
      <c r="Q111" s="33" t="s">
        <v>759</v>
      </c>
      <c r="S111" s="33" t="s">
        <v>377</v>
      </c>
      <c r="T111" s="33" t="s">
        <v>370</v>
      </c>
      <c r="U111" s="33" t="s">
        <v>371</v>
      </c>
      <c r="V111" s="33" t="s">
        <v>372</v>
      </c>
      <c r="W111" s="33" t="s">
        <v>373</v>
      </c>
      <c r="X111" s="33" t="s">
        <v>374</v>
      </c>
      <c r="Y111" s="33" t="s">
        <v>375</v>
      </c>
      <c r="Z111" s="33" t="s">
        <v>376</v>
      </c>
      <c r="AA111" s="33" t="s">
        <v>759</v>
      </c>
    </row>
    <row r="112" spans="1:35" x14ac:dyDescent="0.2">
      <c r="A112" s="160" t="s">
        <v>132</v>
      </c>
      <c r="B112" s="113">
        <f>7*B111</f>
        <v>7</v>
      </c>
      <c r="C112" s="113" t="s">
        <v>21</v>
      </c>
      <c r="D112" s="6">
        <f>VLOOKUP(A112,'Costo Materia Prima'!$D$3:$I$234,6,FALSE)*B112</f>
        <v>12.639666666666665</v>
      </c>
      <c r="E112" s="12">
        <f t="shared" ref="E112:E115" si="35">(B112*$E$110)/$G$110</f>
        <v>0.14973262032085563</v>
      </c>
      <c r="I112" s="33" t="s">
        <v>378</v>
      </c>
      <c r="J112" s="33">
        <v>0.34</v>
      </c>
      <c r="K112" s="87">
        <v>0.38</v>
      </c>
      <c r="L112" s="87">
        <v>0.55000000000000004</v>
      </c>
      <c r="M112" s="87">
        <v>0.96</v>
      </c>
      <c r="N112" s="87">
        <v>7.4999999999999997E-2</v>
      </c>
      <c r="O112" s="87">
        <v>0.15</v>
      </c>
      <c r="P112" s="87">
        <f>2.3-0.664</f>
        <v>1.6359999999999997</v>
      </c>
      <c r="Q112" s="87">
        <v>1.2</v>
      </c>
      <c r="S112" s="33"/>
      <c r="T112" s="91">
        <f>($D$116/J113)</f>
        <v>12.762853589735657</v>
      </c>
      <c r="U112" s="91">
        <f>($D$116/K113)</f>
        <v>14.26436577676338</v>
      </c>
      <c r="V112" s="91">
        <f>($D$116/L113)</f>
        <v>20.645792571631212</v>
      </c>
      <c r="W112" s="91">
        <f>($D$116/M113)</f>
        <v>36.036292488665381</v>
      </c>
      <c r="X112" s="91">
        <f>($D$116/N113)</f>
        <v>2.8153353506769827</v>
      </c>
      <c r="Y112" s="91">
        <f t="shared" ref="Y112:AA112" si="36">$D$116/O113</f>
        <v>5.6306707013539654</v>
      </c>
      <c r="Z112" s="91">
        <f t="shared" si="36"/>
        <v>61.411848449433911</v>
      </c>
      <c r="AA112" s="91">
        <f t="shared" si="36"/>
        <v>45.045365610831723</v>
      </c>
      <c r="AB112" s="5"/>
      <c r="AC112" s="5"/>
      <c r="AD112" s="5"/>
      <c r="AE112" s="5"/>
      <c r="AF112" s="5"/>
      <c r="AG112" s="5"/>
      <c r="AH112" s="5"/>
      <c r="AI112" s="5"/>
    </row>
    <row r="113" spans="1:35" x14ac:dyDescent="0.2">
      <c r="A113" s="160" t="s">
        <v>200</v>
      </c>
      <c r="B113" s="113">
        <v>0.25</v>
      </c>
      <c r="C113" s="113" t="s">
        <v>18</v>
      </c>
      <c r="D113" s="6">
        <f>VLOOKUP(A113,'Costo Materia Prima'!$D$3:$I$234,6,FALSE)*B113</f>
        <v>0.22368421052631579</v>
      </c>
      <c r="E113" s="12">
        <f t="shared" si="35"/>
        <v>5.3475935828877002E-3</v>
      </c>
      <c r="F113" t="s">
        <v>735</v>
      </c>
      <c r="G113" s="13">
        <f>[2]PAN!$L$15</f>
        <v>0.69590069543194277</v>
      </c>
      <c r="H113" t="s">
        <v>370</v>
      </c>
      <c r="I113" s="33" t="s">
        <v>379</v>
      </c>
      <c r="J113" s="97">
        <f>IFERROR($G$110/J112,0)</f>
        <v>5.5</v>
      </c>
      <c r="K113" s="97">
        <f>IFERROR($G$110/K112,0)</f>
        <v>4.9210526315789478</v>
      </c>
      <c r="L113" s="97">
        <f t="shared" ref="L113:P113" si="37">IFERROR($G$110/L112,0)</f>
        <v>3.4</v>
      </c>
      <c r="M113" s="97">
        <f>IFERROR($G$110/M112,0)</f>
        <v>1.9479166666666667</v>
      </c>
      <c r="N113" s="97">
        <f t="shared" si="37"/>
        <v>24.933333333333337</v>
      </c>
      <c r="O113" s="97">
        <f t="shared" si="37"/>
        <v>12.466666666666669</v>
      </c>
      <c r="P113" s="97">
        <f t="shared" si="37"/>
        <v>1.143031784841076</v>
      </c>
      <c r="Q113" s="97">
        <f t="shared" ref="Q113" si="38">IFERROR($G$110/Q112,0)</f>
        <v>1.5583333333333336</v>
      </c>
      <c r="S113" s="33" t="s">
        <v>380</v>
      </c>
      <c r="T113" s="33" t="s">
        <v>370</v>
      </c>
      <c r="U113" s="33" t="s">
        <v>371</v>
      </c>
      <c r="V113" s="33" t="s">
        <v>372</v>
      </c>
      <c r="W113" s="33" t="s">
        <v>373</v>
      </c>
      <c r="X113" s="33" t="s">
        <v>374</v>
      </c>
      <c r="Y113" s="33" t="s">
        <v>375</v>
      </c>
      <c r="Z113" s="33" t="s">
        <v>376</v>
      </c>
      <c r="AA113" s="33" t="s">
        <v>376</v>
      </c>
    </row>
    <row r="114" spans="1:35" x14ac:dyDescent="0.2">
      <c r="A114" s="160" t="s">
        <v>30</v>
      </c>
      <c r="B114" s="113">
        <v>0.3</v>
      </c>
      <c r="C114" s="113" t="s">
        <v>18</v>
      </c>
      <c r="D114" s="6">
        <f>VLOOKUP(A114,'Costo Materia Prima'!$D$3:$I$234,6,FALSE)*B114</f>
        <v>12.299999999999999</v>
      </c>
      <c r="E114" s="12">
        <f t="shared" si="35"/>
        <v>6.4171122994652408E-3</v>
      </c>
      <c r="F114" t="s">
        <v>735</v>
      </c>
      <c r="G114" s="13">
        <f>[2]PAN!$L$14</f>
        <v>1.530981529950274</v>
      </c>
      <c r="H114" t="s">
        <v>371</v>
      </c>
      <c r="I114" s="33" t="s">
        <v>381</v>
      </c>
      <c r="J114" s="97">
        <f>J113</f>
        <v>5.5</v>
      </c>
      <c r="K114" s="97">
        <f>K113/2</f>
        <v>2.4605263157894739</v>
      </c>
      <c r="L114" s="97">
        <f>L113/2</f>
        <v>1.7</v>
      </c>
      <c r="M114" s="97">
        <f>M113/2</f>
        <v>0.97395833333333337</v>
      </c>
      <c r="N114" s="97">
        <f>N113</f>
        <v>24.933333333333337</v>
      </c>
      <c r="O114" s="97">
        <f>O113</f>
        <v>12.466666666666669</v>
      </c>
      <c r="P114" s="97">
        <f t="shared" ref="P114:Q114" si="39">P113/2</f>
        <v>0.57151589242053802</v>
      </c>
      <c r="Q114" s="97">
        <f t="shared" si="39"/>
        <v>0.77916666666666679</v>
      </c>
      <c r="S114" s="33"/>
      <c r="T114" s="91">
        <f>T112</f>
        <v>12.762853589735657</v>
      </c>
      <c r="U114" s="91">
        <f>U112*2</f>
        <v>28.528731553526761</v>
      </c>
      <c r="V114" s="91">
        <f t="shared" ref="V114:Z114" si="40">V112*2</f>
        <v>41.291585143262424</v>
      </c>
      <c r="W114" s="91">
        <f t="shared" si="40"/>
        <v>72.072584977330763</v>
      </c>
      <c r="X114" s="91">
        <f>X112</f>
        <v>2.8153353506769827</v>
      </c>
      <c r="Y114" s="91">
        <f>Y112</f>
        <v>5.6306707013539654</v>
      </c>
      <c r="Z114" s="91">
        <f t="shared" si="40"/>
        <v>122.82369689886782</v>
      </c>
      <c r="AA114" s="91">
        <f>AA112</f>
        <v>45.045365610831723</v>
      </c>
      <c r="AB114" s="5"/>
      <c r="AC114" s="5"/>
      <c r="AD114" s="5"/>
      <c r="AE114" s="5"/>
      <c r="AF114" s="5"/>
      <c r="AG114" s="5"/>
      <c r="AH114" s="5"/>
      <c r="AI114" s="5"/>
    </row>
    <row r="115" spans="1:35" x14ac:dyDescent="0.2">
      <c r="A115" s="160" t="s">
        <v>61</v>
      </c>
      <c r="B115" s="113">
        <f>B111*0.012</f>
        <v>1.2E-2</v>
      </c>
      <c r="C115" s="113" t="s">
        <v>15</v>
      </c>
      <c r="D115" s="6">
        <f>VLOOKUP(A115,'Costo Materia Prima'!$D$3:$I$234,6,FALSE)*B115</f>
        <v>0.42525000000000002</v>
      </c>
      <c r="E115" s="12">
        <f t="shared" si="35"/>
        <v>2.5668449197860962E-4</v>
      </c>
      <c r="F115" t="s">
        <v>735</v>
      </c>
      <c r="G115" s="13">
        <f>[2]PAN!$L$13</f>
        <v>2.5516358832504569</v>
      </c>
      <c r="H115" t="s">
        <v>372</v>
      </c>
    </row>
    <row r="116" spans="1:35" x14ac:dyDescent="0.2">
      <c r="B116" s="310" t="s">
        <v>344</v>
      </c>
      <c r="C116" s="310"/>
      <c r="D116" s="32">
        <f>SUM(D111:D115)</f>
        <v>70.195694743546113</v>
      </c>
      <c r="F116" t="s">
        <v>735</v>
      </c>
      <c r="G116" s="13">
        <f>[2]PAN!$L$12</f>
        <v>3.8274538248756849</v>
      </c>
      <c r="H116" t="s">
        <v>373</v>
      </c>
    </row>
    <row r="118" spans="1:35" x14ac:dyDescent="0.2">
      <c r="A118" s="310" t="s">
        <v>391</v>
      </c>
      <c r="B118" s="310"/>
      <c r="C118" s="310"/>
      <c r="D118" s="310"/>
    </row>
    <row r="119" spans="1:35" ht="16" thickBot="1" x14ac:dyDescent="0.25">
      <c r="A119" s="158" t="s">
        <v>341</v>
      </c>
      <c r="B119" s="158" t="s">
        <v>4</v>
      </c>
      <c r="C119" s="158" t="s">
        <v>5</v>
      </c>
      <c r="D119" s="158" t="s">
        <v>7</v>
      </c>
      <c r="E119" s="258">
        <f>N121</f>
        <v>0.09</v>
      </c>
      <c r="F119" s="112" t="s">
        <v>364</v>
      </c>
      <c r="G119" s="112">
        <v>1.9339999999999999</v>
      </c>
      <c r="H119" s="20"/>
      <c r="I119" s="318" t="s">
        <v>391</v>
      </c>
      <c r="J119" s="320"/>
      <c r="K119" s="318"/>
      <c r="L119" s="318"/>
      <c r="M119" s="318"/>
      <c r="N119" s="318"/>
      <c r="O119" s="318"/>
      <c r="P119" s="318"/>
      <c r="Q119" s="247"/>
      <c r="S119" s="318" t="s">
        <v>391</v>
      </c>
      <c r="T119" s="318"/>
      <c r="U119" s="318"/>
      <c r="V119" s="318"/>
      <c r="W119" s="318"/>
      <c r="X119" s="318"/>
      <c r="Y119" s="318"/>
      <c r="Z119" s="318"/>
    </row>
    <row r="120" spans="1:35" x14ac:dyDescent="0.2">
      <c r="A120" s="160" t="s">
        <v>141</v>
      </c>
      <c r="B120" s="113">
        <v>1</v>
      </c>
      <c r="C120" s="113" t="s">
        <v>15</v>
      </c>
      <c r="D120" s="6">
        <f>VLOOKUP(A120,'Costo Materia Prima'!$D$3:$I$234,6,FALSE)*B120</f>
        <v>44.607093866353125</v>
      </c>
      <c r="E120" s="12">
        <f t="shared" ref="E120:E126" si="41">(B120*$E$119)/$G$119</f>
        <v>4.6535677352637021E-2</v>
      </c>
      <c r="F120" s="112" t="s">
        <v>362</v>
      </c>
      <c r="G120" s="85">
        <f>IFERROR(D127/G119,D127)</f>
        <v>49.008974164358172</v>
      </c>
      <c r="I120" s="93" t="s">
        <v>369</v>
      </c>
      <c r="J120" s="33" t="s">
        <v>370</v>
      </c>
      <c r="K120" s="114" t="s">
        <v>371</v>
      </c>
      <c r="L120" s="29" t="s">
        <v>372</v>
      </c>
      <c r="M120" s="29" t="s">
        <v>373</v>
      </c>
      <c r="N120" s="29" t="s">
        <v>374</v>
      </c>
      <c r="O120" s="29" t="s">
        <v>375</v>
      </c>
      <c r="P120" s="29" t="s">
        <v>376</v>
      </c>
      <c r="Q120" s="160"/>
      <c r="S120" s="29" t="s">
        <v>377</v>
      </c>
      <c r="T120" s="70" t="s">
        <v>370</v>
      </c>
      <c r="U120" s="29" t="s">
        <v>371</v>
      </c>
      <c r="V120" s="29" t="s">
        <v>372</v>
      </c>
      <c r="W120" s="29" t="s">
        <v>373</v>
      </c>
      <c r="X120" s="29" t="s">
        <v>374</v>
      </c>
      <c r="Y120" s="29" t="s">
        <v>375</v>
      </c>
      <c r="Z120" s="29" t="s">
        <v>376</v>
      </c>
    </row>
    <row r="121" spans="1:35" x14ac:dyDescent="0.2">
      <c r="A121" s="160" t="s">
        <v>132</v>
      </c>
      <c r="B121" s="113">
        <v>7</v>
      </c>
      <c r="C121" s="113" t="s">
        <v>21</v>
      </c>
      <c r="D121" s="6">
        <f>VLOOKUP(A121,'Costo Materia Prima'!$D$3:$I$234,6,FALSE)*B121</f>
        <v>12.639666666666665</v>
      </c>
      <c r="E121" s="12">
        <f t="shared" si="41"/>
        <v>0.32574974146845914</v>
      </c>
      <c r="I121" s="40" t="s">
        <v>378</v>
      </c>
      <c r="J121" s="33">
        <v>0</v>
      </c>
      <c r="K121" s="63">
        <v>0.47</v>
      </c>
      <c r="L121" s="63">
        <v>0.83499999999999996</v>
      </c>
      <c r="M121" s="63">
        <v>1.0649999999999999</v>
      </c>
      <c r="N121" s="64">
        <v>0.09</v>
      </c>
      <c r="O121" s="64">
        <v>0</v>
      </c>
      <c r="P121" s="65">
        <v>0</v>
      </c>
      <c r="Q121" s="45"/>
      <c r="S121" s="29"/>
      <c r="T121" s="53">
        <f t="shared" ref="T121:Z121" si="42">IFERROR($D$127/J122,0)</f>
        <v>0</v>
      </c>
      <c r="U121" s="53">
        <f t="shared" si="42"/>
        <v>23.034217857248336</v>
      </c>
      <c r="V121" s="53">
        <f t="shared" si="42"/>
        <v>40.922493427239075</v>
      </c>
      <c r="W121" s="53">
        <f t="shared" si="42"/>
        <v>52.19455748504145</v>
      </c>
      <c r="X121" s="53">
        <f t="shared" si="42"/>
        <v>4.4108076747922347</v>
      </c>
      <c r="Y121" s="53">
        <f t="shared" si="42"/>
        <v>0</v>
      </c>
      <c r="Z121" s="53">
        <f t="shared" si="42"/>
        <v>0</v>
      </c>
    </row>
    <row r="122" spans="1:35" x14ac:dyDescent="0.2">
      <c r="A122" s="160" t="s">
        <v>200</v>
      </c>
      <c r="B122" s="113">
        <v>0.25</v>
      </c>
      <c r="C122" s="113" t="s">
        <v>18</v>
      </c>
      <c r="D122" s="6">
        <f>VLOOKUP(A122,'Costo Materia Prima'!$D$3:$I$234,6,FALSE)*B122</f>
        <v>0.22368421052631579</v>
      </c>
      <c r="E122" s="12">
        <f t="shared" si="41"/>
        <v>1.1633919338159255E-2</v>
      </c>
      <c r="I122" s="40" t="s">
        <v>379</v>
      </c>
      <c r="J122" s="94">
        <f>IFERROR($G$119/J121,0)</f>
        <v>0</v>
      </c>
      <c r="K122" s="94">
        <f>IFERROR($G$119/K121,0)</f>
        <v>4.1148936170212771</v>
      </c>
      <c r="L122" s="94">
        <f t="shared" ref="L122:P122" si="43">IFERROR($G$119/L121,0)</f>
        <v>2.3161676646706586</v>
      </c>
      <c r="M122" s="94">
        <f t="shared" si="43"/>
        <v>1.8159624413145541</v>
      </c>
      <c r="N122" s="94">
        <f t="shared" si="43"/>
        <v>21.488888888888891</v>
      </c>
      <c r="O122" s="94">
        <f t="shared" si="43"/>
        <v>0</v>
      </c>
      <c r="P122" s="94">
        <f t="shared" si="43"/>
        <v>0</v>
      </c>
      <c r="Q122" s="248"/>
      <c r="S122" s="29" t="s">
        <v>380</v>
      </c>
      <c r="T122" s="70" t="s">
        <v>370</v>
      </c>
      <c r="U122" s="29" t="s">
        <v>371</v>
      </c>
      <c r="V122" s="29" t="s">
        <v>372</v>
      </c>
      <c r="W122" s="29" t="s">
        <v>373</v>
      </c>
      <c r="X122" s="29" t="s">
        <v>374</v>
      </c>
      <c r="Y122" s="29" t="s">
        <v>375</v>
      </c>
      <c r="Z122" s="29" t="s">
        <v>376</v>
      </c>
    </row>
    <row r="123" spans="1:35" x14ac:dyDescent="0.2">
      <c r="A123" s="160" t="s">
        <v>30</v>
      </c>
      <c r="B123" s="113">
        <v>0.3</v>
      </c>
      <c r="C123" s="113" t="s">
        <v>18</v>
      </c>
      <c r="D123" s="6">
        <f>VLOOKUP(A123,'Costo Materia Prima'!$D$3:$I$234,6,FALSE)*B123</f>
        <v>12.299999999999999</v>
      </c>
      <c r="E123" s="12">
        <f t="shared" si="41"/>
        <v>1.3960703205791106E-2</v>
      </c>
      <c r="I123" s="40" t="s">
        <v>381</v>
      </c>
      <c r="J123" s="94">
        <f>J122/2</f>
        <v>0</v>
      </c>
      <c r="K123" s="94">
        <f>K122/2</f>
        <v>2.0574468085106385</v>
      </c>
      <c r="L123" s="94">
        <f>L122/2</f>
        <v>1.1580838323353293</v>
      </c>
      <c r="M123" s="94">
        <f>M122/2</f>
        <v>0.90798122065727704</v>
      </c>
      <c r="N123" s="66">
        <f>N122</f>
        <v>21.488888888888891</v>
      </c>
      <c r="O123" s="66">
        <f>O122</f>
        <v>0</v>
      </c>
      <c r="P123" s="66">
        <f t="shared" ref="P123" si="44">P122/2</f>
        <v>0</v>
      </c>
      <c r="Q123" s="248"/>
      <c r="S123" s="29"/>
      <c r="T123" s="53">
        <f>T121*2</f>
        <v>0</v>
      </c>
      <c r="U123" s="53">
        <f>U121*2</f>
        <v>46.068435714496673</v>
      </c>
      <c r="V123" s="53">
        <f t="shared" ref="V123:W123" si="45">V121*2</f>
        <v>81.844986854478151</v>
      </c>
      <c r="W123" s="53">
        <f t="shared" si="45"/>
        <v>104.3891149700829</v>
      </c>
      <c r="X123" s="53">
        <f>X121</f>
        <v>4.4108076747922347</v>
      </c>
      <c r="Y123" s="53">
        <f>Y121</f>
        <v>0</v>
      </c>
      <c r="Z123" s="53">
        <f t="shared" ref="Z123" si="46">Z121*2</f>
        <v>0</v>
      </c>
    </row>
    <row r="124" spans="1:35" x14ac:dyDescent="0.2">
      <c r="A124" s="160" t="s">
        <v>317</v>
      </c>
      <c r="B124" s="113">
        <v>7.0000000000000007E-2</v>
      </c>
      <c r="C124" s="113" t="s">
        <v>15</v>
      </c>
      <c r="D124" s="6">
        <f>VLOOKUP(A124,'Costo Materia Prima'!$D$3:$I$234,6,FALSE)*B124</f>
        <v>17.010000000000002</v>
      </c>
      <c r="E124" s="12">
        <f t="shared" si="41"/>
        <v>3.2574974146845916E-3</v>
      </c>
    </row>
    <row r="125" spans="1:35" x14ac:dyDescent="0.2">
      <c r="A125" s="160" t="s">
        <v>42</v>
      </c>
      <c r="B125" s="113">
        <v>1.4999999999999999E-2</v>
      </c>
      <c r="C125" s="113" t="s">
        <v>18</v>
      </c>
      <c r="D125" s="6">
        <f>VLOOKUP(A125,'Costo Materia Prima'!$D$3:$I$234,6,FALSE)*B125</f>
        <v>7.5776612903225793</v>
      </c>
      <c r="E125" s="12">
        <f t="shared" si="41"/>
        <v>6.9803516028955524E-4</v>
      </c>
    </row>
    <row r="126" spans="1:35" x14ac:dyDescent="0.2">
      <c r="A126" s="160" t="s">
        <v>61</v>
      </c>
      <c r="B126" s="113">
        <v>1.2E-2</v>
      </c>
      <c r="C126" s="113" t="s">
        <v>15</v>
      </c>
      <c r="D126" s="6">
        <f>VLOOKUP(A126,'Costo Materia Prima'!$D$3:$I$234,6,FALSE)*B126</f>
        <v>0.42525000000000002</v>
      </c>
      <c r="E126" s="12">
        <f t="shared" si="41"/>
        <v>5.584281282316443E-4</v>
      </c>
    </row>
    <row r="127" spans="1:35" x14ac:dyDescent="0.2">
      <c r="B127" s="310" t="s">
        <v>344</v>
      </c>
      <c r="C127" s="310"/>
      <c r="D127" s="32">
        <f>SUM(D120:D126)</f>
        <v>94.783356033868699</v>
      </c>
    </row>
    <row r="129" spans="1:26" x14ac:dyDescent="0.2">
      <c r="A129" s="310" t="s">
        <v>655</v>
      </c>
      <c r="B129" s="310"/>
      <c r="C129" s="310"/>
      <c r="D129" s="310"/>
    </row>
    <row r="130" spans="1:26" ht="16" thickBot="1" x14ac:dyDescent="0.25">
      <c r="A130" s="158" t="s">
        <v>341</v>
      </c>
      <c r="B130" s="158" t="s">
        <v>4</v>
      </c>
      <c r="C130" s="158" t="s">
        <v>5</v>
      </c>
      <c r="D130" s="158" t="s">
        <v>7</v>
      </c>
      <c r="E130" s="258">
        <f>N132</f>
        <v>8.5000000000000006E-2</v>
      </c>
      <c r="F130" s="112" t="s">
        <v>364</v>
      </c>
      <c r="G130" s="112">
        <f>1.87+0.15</f>
        <v>2.02</v>
      </c>
      <c r="H130" s="20"/>
      <c r="I130" s="321" t="s">
        <v>655</v>
      </c>
      <c r="J130" s="321"/>
      <c r="K130" s="321"/>
      <c r="L130" s="321"/>
      <c r="M130" s="321"/>
      <c r="N130" s="321"/>
      <c r="O130" s="321"/>
      <c r="P130" s="321"/>
      <c r="Q130" s="247"/>
      <c r="S130" s="318" t="s">
        <v>656</v>
      </c>
      <c r="T130" s="318"/>
      <c r="U130" s="318"/>
      <c r="V130" s="318"/>
      <c r="W130" s="318"/>
      <c r="X130" s="318"/>
      <c r="Y130" s="318"/>
      <c r="Z130" s="318"/>
    </row>
    <row r="131" spans="1:26" x14ac:dyDescent="0.2">
      <c r="A131" s="160" t="s">
        <v>141</v>
      </c>
      <c r="B131" s="113">
        <v>1</v>
      </c>
      <c r="C131" s="113" t="s">
        <v>15</v>
      </c>
      <c r="D131" s="6">
        <f>VLOOKUP(A131,'Costo Materia Prima'!$D$3:$I$234,6,FALSE)*B131</f>
        <v>44.607093866353125</v>
      </c>
      <c r="E131" s="12">
        <f t="shared" ref="E131:E136" si="47">(B131*$E$130)/$G$130</f>
        <v>4.2079207920792082E-2</v>
      </c>
      <c r="F131" s="112" t="s">
        <v>362</v>
      </c>
      <c r="G131" s="85">
        <f>D137/G130</f>
        <v>58.194619922547581</v>
      </c>
      <c r="I131" s="33" t="s">
        <v>369</v>
      </c>
      <c r="J131" s="33" t="s">
        <v>370</v>
      </c>
      <c r="K131" s="33" t="s">
        <v>371</v>
      </c>
      <c r="L131" s="33" t="s">
        <v>372</v>
      </c>
      <c r="M131" s="33" t="s">
        <v>373</v>
      </c>
      <c r="N131" s="33" t="s">
        <v>374</v>
      </c>
      <c r="O131" s="33" t="s">
        <v>375</v>
      </c>
      <c r="P131" s="33" t="s">
        <v>376</v>
      </c>
      <c r="Q131" s="160"/>
      <c r="S131" s="29" t="s">
        <v>377</v>
      </c>
      <c r="T131" s="70" t="s">
        <v>370</v>
      </c>
      <c r="U131" s="29" t="s">
        <v>371</v>
      </c>
      <c r="V131" s="29" t="s">
        <v>372</v>
      </c>
      <c r="W131" s="29" t="s">
        <v>373</v>
      </c>
      <c r="X131" s="29" t="s">
        <v>374</v>
      </c>
      <c r="Y131" s="29" t="s">
        <v>375</v>
      </c>
      <c r="Z131" s="29" t="s">
        <v>376</v>
      </c>
    </row>
    <row r="132" spans="1:26" x14ac:dyDescent="0.2">
      <c r="A132" s="160" t="s">
        <v>132</v>
      </c>
      <c r="B132" s="113">
        <v>7</v>
      </c>
      <c r="C132" s="113" t="s">
        <v>21</v>
      </c>
      <c r="D132" s="6">
        <f>VLOOKUP(A132,'Costo Materia Prima'!$D$3:$I$234,6,FALSE)*B132</f>
        <v>12.639666666666665</v>
      </c>
      <c r="E132" s="12">
        <f t="shared" si="47"/>
        <v>0.29455445544554459</v>
      </c>
      <c r="I132" s="33" t="s">
        <v>378</v>
      </c>
      <c r="J132" s="33">
        <v>0</v>
      </c>
      <c r="K132" s="87">
        <v>0</v>
      </c>
      <c r="L132" s="87">
        <v>0</v>
      </c>
      <c r="M132" s="87">
        <v>0</v>
      </c>
      <c r="N132" s="87">
        <v>8.5000000000000006E-2</v>
      </c>
      <c r="O132" s="87">
        <v>0</v>
      </c>
      <c r="P132" s="87">
        <v>0</v>
      </c>
      <c r="Q132" s="45"/>
      <c r="S132" s="29"/>
      <c r="T132" s="115">
        <f t="shared" ref="T132:Z132" si="48">IFERROR($D$137/J133,0)</f>
        <v>0</v>
      </c>
      <c r="U132" s="115">
        <f t="shared" si="48"/>
        <v>0</v>
      </c>
      <c r="V132" s="115">
        <f t="shared" si="48"/>
        <v>0</v>
      </c>
      <c r="W132" s="115">
        <f t="shared" si="48"/>
        <v>0</v>
      </c>
      <c r="X132" s="115">
        <f t="shared" si="48"/>
        <v>4.9465426934165446</v>
      </c>
      <c r="Y132" s="115">
        <f t="shared" si="48"/>
        <v>0</v>
      </c>
      <c r="Z132" s="115">
        <f t="shared" si="48"/>
        <v>0</v>
      </c>
    </row>
    <row r="133" spans="1:26" x14ac:dyDescent="0.2">
      <c r="A133" s="160" t="s">
        <v>200</v>
      </c>
      <c r="B133" s="113">
        <v>0.25</v>
      </c>
      <c r="C133" s="113" t="s">
        <v>15</v>
      </c>
      <c r="D133" s="6">
        <f>VLOOKUP(A133,'Costo Materia Prima'!$D$3:$I$234,6,FALSE)*B133</f>
        <v>0.22368421052631579</v>
      </c>
      <c r="E133" s="12">
        <f t="shared" si="47"/>
        <v>1.051980198019802E-2</v>
      </c>
      <c r="I133" s="33" t="s">
        <v>379</v>
      </c>
      <c r="J133" s="97">
        <f>IFERROR($G$130/J132,0)</f>
        <v>0</v>
      </c>
      <c r="K133" s="97">
        <f>IFERROR($G$130/K132,0)</f>
        <v>0</v>
      </c>
      <c r="L133" s="97">
        <f t="shared" ref="L133:P133" si="49">IFERROR($G$130/L132,0)</f>
        <v>0</v>
      </c>
      <c r="M133" s="97">
        <f t="shared" si="49"/>
        <v>0</v>
      </c>
      <c r="N133" s="97">
        <f>IFERROR($G$130/N132,0)</f>
        <v>23.764705882352938</v>
      </c>
      <c r="O133" s="97">
        <f t="shared" si="49"/>
        <v>0</v>
      </c>
      <c r="P133" s="97">
        <f t="shared" si="49"/>
        <v>0</v>
      </c>
      <c r="Q133" s="248"/>
      <c r="S133" s="29" t="s">
        <v>380</v>
      </c>
      <c r="T133" s="70" t="s">
        <v>370</v>
      </c>
      <c r="U133" s="29" t="s">
        <v>371</v>
      </c>
      <c r="V133" s="29" t="s">
        <v>372</v>
      </c>
      <c r="W133" s="29" t="s">
        <v>373</v>
      </c>
      <c r="X133" s="29" t="s">
        <v>374</v>
      </c>
      <c r="Y133" s="29" t="s">
        <v>375</v>
      </c>
      <c r="Z133" s="29" t="s">
        <v>376</v>
      </c>
    </row>
    <row r="134" spans="1:26" x14ac:dyDescent="0.2">
      <c r="A134" s="160" t="s">
        <v>30</v>
      </c>
      <c r="B134" s="113">
        <v>0.3</v>
      </c>
      <c r="C134" s="113" t="s">
        <v>15</v>
      </c>
      <c r="D134" s="6">
        <f>VLOOKUP(A134,'Costo Materia Prima'!$D$3:$I$234,6,FALSE)*B134</f>
        <v>12.299999999999999</v>
      </c>
      <c r="E134" s="12">
        <f t="shared" si="47"/>
        <v>1.2623762376237625E-2</v>
      </c>
      <c r="I134" s="33" t="s">
        <v>381</v>
      </c>
      <c r="J134" s="97">
        <f>J133/2</f>
        <v>0</v>
      </c>
      <c r="K134" s="97">
        <f>K133/2</f>
        <v>0</v>
      </c>
      <c r="L134" s="97">
        <f>L133/2</f>
        <v>0</v>
      </c>
      <c r="M134" s="97">
        <f>M133/2</f>
        <v>0</v>
      </c>
      <c r="N134" s="97">
        <f>N133</f>
        <v>23.764705882352938</v>
      </c>
      <c r="O134" s="97">
        <f>O133</f>
        <v>0</v>
      </c>
      <c r="P134" s="97">
        <f t="shared" ref="P134" si="50">P133/2</f>
        <v>0</v>
      </c>
      <c r="Q134" s="248"/>
      <c r="S134" s="29"/>
      <c r="T134" s="53">
        <f>T132*2</f>
        <v>0</v>
      </c>
      <c r="U134" s="53">
        <f>U132*2</f>
        <v>0</v>
      </c>
      <c r="V134" s="53">
        <f t="shared" ref="V134:W134" si="51">V132*2</f>
        <v>0</v>
      </c>
      <c r="W134" s="53">
        <f t="shared" si="51"/>
        <v>0</v>
      </c>
      <c r="X134" s="53">
        <f>X132</f>
        <v>4.9465426934165446</v>
      </c>
      <c r="Y134" s="53">
        <f>Y132</f>
        <v>0</v>
      </c>
      <c r="Z134" s="53">
        <f t="shared" ref="Z134" si="52">Z132*2</f>
        <v>0</v>
      </c>
    </row>
    <row r="135" spans="1:26" x14ac:dyDescent="0.2">
      <c r="A135" s="160" t="s">
        <v>61</v>
      </c>
      <c r="B135" s="113">
        <v>1.2E-2</v>
      </c>
      <c r="C135" s="113" t="s">
        <v>15</v>
      </c>
      <c r="D135" s="6">
        <f>VLOOKUP(A135,'Costo Materia Prima'!$D$3:$I$234,6,FALSE)*B135</f>
        <v>0.42525000000000002</v>
      </c>
      <c r="E135" s="12">
        <f t="shared" si="47"/>
        <v>5.0495049504950497E-4</v>
      </c>
    </row>
    <row r="136" spans="1:26" x14ac:dyDescent="0.2">
      <c r="A136" s="160" t="s">
        <v>90</v>
      </c>
      <c r="B136" s="113">
        <v>0.15</v>
      </c>
      <c r="C136" s="113" t="s">
        <v>15</v>
      </c>
      <c r="D136" s="6">
        <f>VLOOKUP(A136,'Costo Materia Prima'!$D$3:$I$234,6,FALSE)*B136</f>
        <v>47.357437499999996</v>
      </c>
      <c r="E136" s="12">
        <f t="shared" si="47"/>
        <v>6.3118811881188123E-3</v>
      </c>
    </row>
    <row r="137" spans="1:26" x14ac:dyDescent="0.2">
      <c r="B137" s="310" t="s">
        <v>344</v>
      </c>
      <c r="C137" s="310"/>
      <c r="D137" s="6">
        <f>SUM(D131:D136)</f>
        <v>117.55313224354612</v>
      </c>
    </row>
    <row r="139" spans="1:26" x14ac:dyDescent="0.2">
      <c r="A139" s="310" t="s">
        <v>394</v>
      </c>
      <c r="B139" s="310"/>
      <c r="C139" s="310"/>
      <c r="D139" s="310"/>
    </row>
    <row r="140" spans="1:26" ht="16" thickBot="1" x14ac:dyDescent="0.25">
      <c r="A140" s="158" t="s">
        <v>341</v>
      </c>
      <c r="B140" s="158" t="s">
        <v>4</v>
      </c>
      <c r="C140" s="158" t="s">
        <v>5</v>
      </c>
      <c r="D140" s="158" t="s">
        <v>7</v>
      </c>
      <c r="F140" s="112" t="s">
        <v>364</v>
      </c>
      <c r="G140" s="112">
        <v>1.64</v>
      </c>
      <c r="H140" s="20"/>
      <c r="I140" s="321" t="s">
        <v>394</v>
      </c>
      <c r="J140" s="321"/>
      <c r="K140" s="321"/>
      <c r="L140" s="321"/>
      <c r="M140" s="321"/>
      <c r="N140" s="321"/>
      <c r="O140" s="321"/>
      <c r="P140" s="321"/>
      <c r="Q140" s="247"/>
      <c r="S140" s="318" t="s">
        <v>394</v>
      </c>
      <c r="T140" s="318"/>
      <c r="U140" s="318"/>
      <c r="V140" s="318"/>
      <c r="W140" s="318"/>
      <c r="X140" s="318"/>
      <c r="Y140" s="318"/>
      <c r="Z140" s="318"/>
    </row>
    <row r="141" spans="1:26" x14ac:dyDescent="0.2">
      <c r="A141" s="160" t="s">
        <v>132</v>
      </c>
      <c r="B141" s="113">
        <v>6</v>
      </c>
      <c r="C141" s="113" t="s">
        <v>21</v>
      </c>
      <c r="D141" s="6">
        <f>VLOOKUP(A141,'Costo Materia Prima'!$D$3:$I$234,6,FALSE)*B141</f>
        <v>10.834</v>
      </c>
      <c r="F141" s="112" t="s">
        <v>362</v>
      </c>
      <c r="G141" s="85">
        <f>D155/G140</f>
        <v>109.22037635488303</v>
      </c>
      <c r="I141" s="33" t="s">
        <v>369</v>
      </c>
      <c r="J141" s="33" t="s">
        <v>370</v>
      </c>
      <c r="K141" s="33" t="s">
        <v>371</v>
      </c>
      <c r="L141" s="33" t="s">
        <v>372</v>
      </c>
      <c r="M141" s="33" t="s">
        <v>373</v>
      </c>
      <c r="N141" s="33" t="s">
        <v>374</v>
      </c>
      <c r="O141" s="33" t="s">
        <v>375</v>
      </c>
      <c r="P141" s="33" t="s">
        <v>376</v>
      </c>
      <c r="Q141" s="160"/>
      <c r="S141" s="29" t="s">
        <v>377</v>
      </c>
      <c r="T141" s="70" t="s">
        <v>370</v>
      </c>
      <c r="U141" s="29" t="s">
        <v>371</v>
      </c>
      <c r="V141" s="29" t="s">
        <v>372</v>
      </c>
      <c r="W141" s="29" t="s">
        <v>373</v>
      </c>
      <c r="X141" s="29" t="s">
        <v>374</v>
      </c>
      <c r="Y141" s="29" t="s">
        <v>375</v>
      </c>
      <c r="Z141" s="29" t="s">
        <v>376</v>
      </c>
    </row>
    <row r="142" spans="1:26" x14ac:dyDescent="0.2">
      <c r="A142" s="160" t="s">
        <v>13</v>
      </c>
      <c r="B142" s="113">
        <v>0.35</v>
      </c>
      <c r="C142" s="113" t="s">
        <v>15</v>
      </c>
      <c r="D142" s="6">
        <f>VLOOKUP(A142,'Costo Materia Prima'!$D$3:$I$234,6,FALSE)*B142</f>
        <v>7.1399999999999988</v>
      </c>
      <c r="I142" s="33" t="s">
        <v>378</v>
      </c>
      <c r="J142" s="33">
        <v>0</v>
      </c>
      <c r="K142" s="87">
        <v>0</v>
      </c>
      <c r="L142" s="87">
        <v>1.64</v>
      </c>
      <c r="M142" s="87">
        <v>0</v>
      </c>
      <c r="N142" s="87">
        <v>0</v>
      </c>
      <c r="O142" s="87">
        <v>0</v>
      </c>
      <c r="P142" s="87">
        <v>0</v>
      </c>
      <c r="Q142" s="45"/>
      <c r="S142" s="29"/>
      <c r="T142" s="115">
        <f t="shared" ref="T142:Z142" si="53">IFERROR($D$155/J143,0)</f>
        <v>0</v>
      </c>
      <c r="U142" s="115">
        <f t="shared" si="53"/>
        <v>0</v>
      </c>
      <c r="V142" s="115">
        <f t="shared" si="53"/>
        <v>179.12141722200815</v>
      </c>
      <c r="W142" s="115">
        <f t="shared" si="53"/>
        <v>0</v>
      </c>
      <c r="X142" s="115">
        <f t="shared" si="53"/>
        <v>0</v>
      </c>
      <c r="Y142" s="115">
        <f t="shared" si="53"/>
        <v>0</v>
      </c>
      <c r="Z142" s="115">
        <f t="shared" si="53"/>
        <v>0</v>
      </c>
    </row>
    <row r="143" spans="1:26" x14ac:dyDescent="0.2">
      <c r="A143" s="160" t="s">
        <v>230</v>
      </c>
      <c r="B143" s="113">
        <v>0.36</v>
      </c>
      <c r="C143" s="113" t="s">
        <v>21</v>
      </c>
      <c r="D143" s="6">
        <f>VLOOKUP(A143,'Costo Materia Prima'!$D$3:$I$234,6,FALSE)*B143</f>
        <v>6.66</v>
      </c>
      <c r="I143" s="33" t="s">
        <v>379</v>
      </c>
      <c r="J143" s="97">
        <f>IFERROR($G$140/J142,0)</f>
        <v>0</v>
      </c>
      <c r="K143" s="97">
        <f>IFERROR($G$140/K142,0)</f>
        <v>0</v>
      </c>
      <c r="L143" s="97">
        <f t="shared" ref="L143:P143" si="54">IFERROR($G$140/L142,0)</f>
        <v>1</v>
      </c>
      <c r="M143" s="97">
        <f t="shared" si="54"/>
        <v>0</v>
      </c>
      <c r="N143" s="97">
        <f t="shared" si="54"/>
        <v>0</v>
      </c>
      <c r="O143" s="97">
        <f t="shared" si="54"/>
        <v>0</v>
      </c>
      <c r="P143" s="97">
        <f t="shared" si="54"/>
        <v>0</v>
      </c>
      <c r="Q143" s="248"/>
      <c r="S143" s="29" t="s">
        <v>380</v>
      </c>
      <c r="T143" s="70" t="s">
        <v>370</v>
      </c>
      <c r="U143" s="29" t="s">
        <v>371</v>
      </c>
      <c r="V143" s="29" t="s">
        <v>372</v>
      </c>
      <c r="W143" s="29" t="s">
        <v>373</v>
      </c>
      <c r="X143" s="29" t="s">
        <v>374</v>
      </c>
      <c r="Y143" s="29" t="s">
        <v>375</v>
      </c>
      <c r="Z143" s="29" t="s">
        <v>376</v>
      </c>
    </row>
    <row r="144" spans="1:26" x14ac:dyDescent="0.2">
      <c r="A144" s="160" t="s">
        <v>65</v>
      </c>
      <c r="B144" s="113">
        <v>2E-3</v>
      </c>
      <c r="C144" s="113" t="s">
        <v>15</v>
      </c>
      <c r="D144" s="6">
        <f>VLOOKUP(A144,'Costo Materia Prima'!$D$3:$I$234,6,FALSE)*B144</f>
        <v>7.6799999999999993E-2</v>
      </c>
      <c r="I144" s="33" t="s">
        <v>381</v>
      </c>
      <c r="J144" s="97">
        <f>J143/2</f>
        <v>0</v>
      </c>
      <c r="K144" s="97">
        <f>K143/2</f>
        <v>0</v>
      </c>
      <c r="L144" s="97">
        <f>L143/2</f>
        <v>0.5</v>
      </c>
      <c r="M144" s="97">
        <f>M143/2</f>
        <v>0</v>
      </c>
      <c r="N144" s="97">
        <f>N143</f>
        <v>0</v>
      </c>
      <c r="O144" s="97">
        <f>O143</f>
        <v>0</v>
      </c>
      <c r="P144" s="97">
        <f t="shared" ref="P144" si="55">P143/2</f>
        <v>0</v>
      </c>
      <c r="Q144" s="248"/>
      <c r="S144" s="29"/>
      <c r="T144" s="53">
        <f>T142*2</f>
        <v>0</v>
      </c>
      <c r="U144" s="53">
        <f>U142*2</f>
        <v>0</v>
      </c>
      <c r="V144" s="53">
        <f t="shared" ref="V144:W144" si="56">V142*2</f>
        <v>358.2428344440163</v>
      </c>
      <c r="W144" s="53">
        <f t="shared" si="56"/>
        <v>0</v>
      </c>
      <c r="X144" s="53">
        <f>X142</f>
        <v>0</v>
      </c>
      <c r="Y144" s="53">
        <f>Y142</f>
        <v>0</v>
      </c>
      <c r="Z144" s="53">
        <f t="shared" ref="Z144" si="57">Z142*2</f>
        <v>0</v>
      </c>
    </row>
    <row r="145" spans="1:26" x14ac:dyDescent="0.2">
      <c r="A145" s="160" t="s">
        <v>303</v>
      </c>
      <c r="B145" s="113">
        <v>6.0000000000000001E-3</v>
      </c>
      <c r="C145" s="113" t="s">
        <v>15</v>
      </c>
      <c r="D145" s="6">
        <f>VLOOKUP(A145,'Costo Materia Prima'!$D$3:$I$234,6,FALSE)*B145</f>
        <v>8.8250000000000009E-2</v>
      </c>
    </row>
    <row r="146" spans="1:26" x14ac:dyDescent="0.2">
      <c r="A146" s="160" t="s">
        <v>183</v>
      </c>
      <c r="B146" s="113">
        <v>1.4999999999999999E-2</v>
      </c>
      <c r="C146" s="113" t="s">
        <v>18</v>
      </c>
      <c r="D146" s="6">
        <f>VLOOKUP(A146,'Costo Materia Prima'!$D$3:$I$234,6,FALSE)*B146</f>
        <v>1.04432578125</v>
      </c>
    </row>
    <row r="147" spans="1:26" x14ac:dyDescent="0.2">
      <c r="A147" t="s">
        <v>313</v>
      </c>
      <c r="B147" s="113">
        <v>0.23</v>
      </c>
      <c r="C147" s="113" t="s">
        <v>15</v>
      </c>
      <c r="D147" s="6">
        <f>VLOOKUP(A147,'Costo Materia Prima'!$D$3:$I$234,6,FALSE)*B147</f>
        <v>40.249815999999996</v>
      </c>
    </row>
    <row r="148" spans="1:26" x14ac:dyDescent="0.2">
      <c r="A148" t="s">
        <v>61</v>
      </c>
      <c r="B148">
        <v>1.2E-2</v>
      </c>
      <c r="C148" t="s">
        <v>15</v>
      </c>
      <c r="D148" s="6">
        <f>VLOOKUP(A148,'Costo Materia Prima'!$D$3:$I$234,6,FALSE)*B148</f>
        <v>0.42525000000000002</v>
      </c>
    </row>
    <row r="149" spans="1:26" x14ac:dyDescent="0.2">
      <c r="A149" t="s">
        <v>311</v>
      </c>
      <c r="B149">
        <v>0.23</v>
      </c>
      <c r="C149" t="s">
        <v>15</v>
      </c>
      <c r="D149" s="6">
        <f>VLOOKUP(A149,'Costo Materia Prima'!$D$3:$I$234,6,FALSE)*B149</f>
        <v>35.65</v>
      </c>
    </row>
    <row r="150" spans="1:26" x14ac:dyDescent="0.2">
      <c r="A150" t="s">
        <v>87</v>
      </c>
      <c r="B150">
        <v>0.02</v>
      </c>
      <c r="C150" t="s">
        <v>15</v>
      </c>
      <c r="D150" s="6">
        <f>VLOOKUP(A150,'Costo Materia Prima'!$D$3:$I$234,6,FALSE)*B150</f>
        <v>6.4965333333333328</v>
      </c>
    </row>
    <row r="151" spans="1:26" x14ac:dyDescent="0.2">
      <c r="A151" t="s">
        <v>26</v>
      </c>
      <c r="B151">
        <v>0.2</v>
      </c>
      <c r="C151" t="s">
        <v>18</v>
      </c>
      <c r="D151" s="6">
        <f>VLOOKUP(A151,'Costo Materia Prima'!$D$3:$I$234,6,FALSE)*B151</f>
        <v>3.91</v>
      </c>
    </row>
    <row r="152" spans="1:26" x14ac:dyDescent="0.2">
      <c r="A152" t="s">
        <v>90</v>
      </c>
      <c r="B152">
        <v>0.09</v>
      </c>
      <c r="C152" t="s">
        <v>15</v>
      </c>
      <c r="D152" s="6">
        <f>VLOOKUP(A152,'Costo Materia Prima'!$D$3:$I$234,6,FALSE)*B152</f>
        <v>28.414462499999999</v>
      </c>
    </row>
    <row r="153" spans="1:26" x14ac:dyDescent="0.2">
      <c r="A153" t="s">
        <v>88</v>
      </c>
      <c r="B153">
        <v>1.6E-2</v>
      </c>
      <c r="C153" t="s">
        <v>15</v>
      </c>
      <c r="D153" s="6">
        <f>VLOOKUP(A153,'Costo Materia Prima'!$D$3:$I$234,6,FALSE)*B153</f>
        <v>4.2295680000000004</v>
      </c>
    </row>
    <row r="154" spans="1:26" x14ac:dyDescent="0.2">
      <c r="A154" t="s">
        <v>395</v>
      </c>
      <c r="B154">
        <v>0.51500000000000001</v>
      </c>
      <c r="C154" t="s">
        <v>15</v>
      </c>
      <c r="D154" s="13">
        <f>B154*'Insumos 1'!G81</f>
        <v>33.902411607424824</v>
      </c>
    </row>
    <row r="155" spans="1:26" x14ac:dyDescent="0.2">
      <c r="B155" s="310" t="s">
        <v>344</v>
      </c>
      <c r="C155" s="310"/>
      <c r="D155" s="6">
        <f>SUM(D141:D154)</f>
        <v>179.12141722200815</v>
      </c>
    </row>
    <row r="157" spans="1:26" x14ac:dyDescent="0.2">
      <c r="A157" s="310" t="s">
        <v>396</v>
      </c>
      <c r="B157" s="310"/>
      <c r="C157" s="310"/>
      <c r="D157" s="310"/>
      <c r="G157" t="s">
        <v>691</v>
      </c>
    </row>
    <row r="158" spans="1:26" ht="16" thickBot="1" x14ac:dyDescent="0.25">
      <c r="A158" s="158" t="s">
        <v>341</v>
      </c>
      <c r="B158" s="158" t="s">
        <v>4</v>
      </c>
      <c r="C158" s="158" t="s">
        <v>5</v>
      </c>
      <c r="D158" s="158" t="s">
        <v>7</v>
      </c>
      <c r="F158" s="112" t="s">
        <v>364</v>
      </c>
      <c r="G158" s="112">
        <v>2.85</v>
      </c>
      <c r="H158" s="20" t="s">
        <v>15</v>
      </c>
      <c r="I158" s="321" t="s">
        <v>397</v>
      </c>
      <c r="J158" s="321"/>
      <c r="K158" s="321"/>
      <c r="L158" s="321"/>
      <c r="M158" s="321"/>
      <c r="N158" s="321"/>
      <c r="O158" s="321"/>
      <c r="P158" s="321"/>
      <c r="Q158" s="247"/>
      <c r="S158" s="318" t="s">
        <v>397</v>
      </c>
      <c r="T158" s="318"/>
      <c r="U158" s="318"/>
      <c r="V158" s="318"/>
      <c r="W158" s="318"/>
      <c r="X158" s="318"/>
      <c r="Y158" s="318"/>
      <c r="Z158" s="318"/>
    </row>
    <row r="159" spans="1:26" x14ac:dyDescent="0.2">
      <c r="A159" s="160" t="s">
        <v>126</v>
      </c>
      <c r="B159" s="113">
        <v>2.2599999999999998</v>
      </c>
      <c r="C159" s="113" t="s">
        <v>15</v>
      </c>
      <c r="D159" s="6">
        <f>VLOOKUP(A159,'Costo Materia Prima'!$D$3:$I$234,6,FALSE)*B159</f>
        <v>305.76470588235287</v>
      </c>
      <c r="F159" s="112" t="s">
        <v>362</v>
      </c>
      <c r="G159" s="85">
        <f>IFERROR(D163/G158,D163)</f>
        <v>110.2974926158376</v>
      </c>
      <c r="I159" s="33" t="s">
        <v>369</v>
      </c>
      <c r="J159" s="33" t="s">
        <v>370</v>
      </c>
      <c r="K159" s="33" t="s">
        <v>371</v>
      </c>
      <c r="L159" s="33" t="s">
        <v>372</v>
      </c>
      <c r="M159" s="33" t="s">
        <v>373</v>
      </c>
      <c r="N159" s="33" t="s">
        <v>374</v>
      </c>
      <c r="O159" s="33" t="s">
        <v>375</v>
      </c>
      <c r="P159" s="33" t="s">
        <v>376</v>
      </c>
      <c r="Q159" s="160"/>
      <c r="S159" s="29" t="s">
        <v>377</v>
      </c>
      <c r="T159" s="70" t="s">
        <v>370</v>
      </c>
      <c r="U159" s="29" t="s">
        <v>371</v>
      </c>
      <c r="V159" s="29" t="s">
        <v>372</v>
      </c>
      <c r="W159" s="29" t="s">
        <v>373</v>
      </c>
      <c r="X159" s="29" t="s">
        <v>374</v>
      </c>
      <c r="Y159" s="29" t="s">
        <v>375</v>
      </c>
      <c r="Z159" s="29" t="s">
        <v>376</v>
      </c>
    </row>
    <row r="160" spans="1:26" x14ac:dyDescent="0.2">
      <c r="A160" s="160" t="s">
        <v>132</v>
      </c>
      <c r="B160" s="113">
        <v>4</v>
      </c>
      <c r="C160" s="113" t="s">
        <v>398</v>
      </c>
      <c r="D160" s="6">
        <f>VLOOKUP(A160,'Costo Materia Prima'!$D$3:$I$234,6,FALSE)*B160</f>
        <v>7.2226666666666661</v>
      </c>
      <c r="I160" s="33" t="s">
        <v>378</v>
      </c>
      <c r="J160" s="33">
        <v>0</v>
      </c>
      <c r="K160" s="87">
        <v>0</v>
      </c>
      <c r="L160" s="87">
        <v>0</v>
      </c>
      <c r="M160" s="87">
        <v>0</v>
      </c>
      <c r="N160" s="87">
        <v>0</v>
      </c>
      <c r="O160" s="87">
        <v>0</v>
      </c>
      <c r="P160" s="87">
        <v>0</v>
      </c>
      <c r="Q160" s="45"/>
      <c r="S160" s="29"/>
      <c r="T160" s="115">
        <f>IFERROR($D$163/J161,0)</f>
        <v>0</v>
      </c>
      <c r="U160" s="115">
        <f>IFERROR($D$163/K161,0)</f>
        <v>0</v>
      </c>
      <c r="V160" s="115">
        <f>IFERROR($D$163/L161,0)</f>
        <v>0</v>
      </c>
      <c r="W160" s="115">
        <f>IFERROR($D$163/M161,0)</f>
        <v>0</v>
      </c>
      <c r="X160" s="115">
        <f>IFERROR($D$163/N161,0)</f>
        <v>0</v>
      </c>
      <c r="Y160" s="115">
        <f t="shared" ref="Y160" si="58">IFERROR($D$137/O161,0)</f>
        <v>0</v>
      </c>
      <c r="Z160" s="115">
        <f t="shared" ref="Z160" si="59">IFERROR($D$137/P161,0)</f>
        <v>0</v>
      </c>
    </row>
    <row r="161" spans="1:26" x14ac:dyDescent="0.2">
      <c r="A161" s="160" t="s">
        <v>30</v>
      </c>
      <c r="B161" s="113">
        <v>0.03</v>
      </c>
      <c r="C161" s="113" t="s">
        <v>18</v>
      </c>
      <c r="D161" s="6">
        <v>1.229235294117647</v>
      </c>
      <c r="I161" s="33" t="s">
        <v>379</v>
      </c>
      <c r="J161" s="97">
        <f t="shared" ref="J161:O161" si="60">IFERROR($G$166/J160,0)</f>
        <v>0</v>
      </c>
      <c r="K161" s="97">
        <f t="shared" si="60"/>
        <v>0</v>
      </c>
      <c r="L161" s="97">
        <f t="shared" si="60"/>
        <v>0</v>
      </c>
      <c r="M161" s="97">
        <f t="shared" si="60"/>
        <v>0</v>
      </c>
      <c r="N161" s="97">
        <f t="shared" ref="N161" si="61">IFERROR($G$166/N160,0)</f>
        <v>0</v>
      </c>
      <c r="O161" s="97">
        <f t="shared" si="60"/>
        <v>0</v>
      </c>
      <c r="P161" s="97">
        <f t="shared" ref="P161" si="62">IFERROR($G$130/P160,0)</f>
        <v>0</v>
      </c>
      <c r="Q161" s="248"/>
      <c r="S161" s="29" t="s">
        <v>380</v>
      </c>
      <c r="T161" s="70" t="s">
        <v>370</v>
      </c>
      <c r="U161" s="29" t="s">
        <v>371</v>
      </c>
      <c r="V161" s="29" t="s">
        <v>372</v>
      </c>
      <c r="W161" s="29" t="s">
        <v>373</v>
      </c>
      <c r="X161" s="29" t="s">
        <v>374</v>
      </c>
      <c r="Y161" s="29" t="s">
        <v>375</v>
      </c>
      <c r="Z161" s="29" t="s">
        <v>376</v>
      </c>
    </row>
    <row r="162" spans="1:26" x14ac:dyDescent="0.2">
      <c r="A162" s="160" t="s">
        <v>200</v>
      </c>
      <c r="B162" s="113">
        <v>0.03</v>
      </c>
      <c r="C162" s="113" t="s">
        <v>18</v>
      </c>
      <c r="D162" s="6">
        <v>0.13124611199999997</v>
      </c>
      <c r="I162" s="33" t="s">
        <v>381</v>
      </c>
      <c r="J162" s="97">
        <f>J161/2</f>
        <v>0</v>
      </c>
      <c r="K162" s="97">
        <f>K161/2</f>
        <v>0</v>
      </c>
      <c r="L162" s="97">
        <f>L161/2</f>
        <v>0</v>
      </c>
      <c r="M162" s="97">
        <f>M161/2</f>
        <v>0</v>
      </c>
      <c r="N162" s="97">
        <f>N161</f>
        <v>0</v>
      </c>
      <c r="O162" s="97">
        <f>O161</f>
        <v>0</v>
      </c>
      <c r="P162" s="97">
        <f t="shared" ref="P162" si="63">P161/2</f>
        <v>0</v>
      </c>
      <c r="Q162" s="248"/>
      <c r="S162" s="29"/>
      <c r="T162" s="53">
        <f>T160*2</f>
        <v>0</v>
      </c>
      <c r="U162" s="53">
        <f>U160*2</f>
        <v>0</v>
      </c>
      <c r="V162" s="53">
        <f t="shared" ref="V162:W162" si="64">V160*2</f>
        <v>0</v>
      </c>
      <c r="W162" s="53">
        <f t="shared" si="64"/>
        <v>0</v>
      </c>
      <c r="X162" s="53">
        <f>X160</f>
        <v>0</v>
      </c>
      <c r="Y162" s="53">
        <f>Y160</f>
        <v>0</v>
      </c>
      <c r="Z162" s="53">
        <f t="shared" ref="Z162" si="65">Z160*2</f>
        <v>0</v>
      </c>
    </row>
    <row r="163" spans="1:26" x14ac:dyDescent="0.2">
      <c r="B163" s="310" t="s">
        <v>344</v>
      </c>
      <c r="C163" s="310"/>
      <c r="D163" s="6">
        <f>SUM(D159:D162)</f>
        <v>314.34785395513717</v>
      </c>
    </row>
    <row r="165" spans="1:26" x14ac:dyDescent="0.2">
      <c r="A165" s="310" t="s">
        <v>392</v>
      </c>
      <c r="B165" s="310"/>
      <c r="C165" s="310"/>
      <c r="D165" s="310"/>
    </row>
    <row r="166" spans="1:26" ht="16" thickBot="1" x14ac:dyDescent="0.25">
      <c r="A166" s="158" t="s">
        <v>341</v>
      </c>
      <c r="B166" s="158" t="s">
        <v>4</v>
      </c>
      <c r="C166" s="158" t="s">
        <v>5</v>
      </c>
      <c r="D166" s="158" t="s">
        <v>7</v>
      </c>
      <c r="F166" s="112" t="s">
        <v>364</v>
      </c>
      <c r="G166" s="112">
        <f>3.6/2</f>
        <v>1.8</v>
      </c>
      <c r="I166" s="321" t="s">
        <v>393</v>
      </c>
      <c r="J166" s="321"/>
      <c r="K166" s="321"/>
      <c r="L166" s="321"/>
      <c r="M166" s="321"/>
      <c r="N166" s="321"/>
      <c r="O166" s="321"/>
      <c r="P166" s="321"/>
      <c r="Q166" s="247"/>
      <c r="S166" s="318" t="s">
        <v>393</v>
      </c>
      <c r="T166" s="318"/>
      <c r="U166" s="318"/>
      <c r="V166" s="318"/>
      <c r="W166" s="318"/>
      <c r="X166" s="318"/>
      <c r="Y166" s="318"/>
      <c r="Z166" s="318"/>
    </row>
    <row r="167" spans="1:26" x14ac:dyDescent="0.2">
      <c r="A167" s="160" t="s">
        <v>132</v>
      </c>
      <c r="B167" s="113">
        <v>6</v>
      </c>
      <c r="C167" s="113" t="s">
        <v>21</v>
      </c>
      <c r="D167" s="6">
        <f>VLOOKUP(A167,'Costo Materia Prima'!$D$3:$I$234,6,FALSE)*B167</f>
        <v>10.834</v>
      </c>
      <c r="F167" s="112" t="s">
        <v>362</v>
      </c>
      <c r="G167" s="85">
        <f>D177/G166</f>
        <v>58.932467656249983</v>
      </c>
      <c r="H167">
        <v>1.5</v>
      </c>
      <c r="I167" s="33" t="s">
        <v>369</v>
      </c>
      <c r="J167" s="33" t="s">
        <v>370</v>
      </c>
      <c r="K167" s="33" t="s">
        <v>371</v>
      </c>
      <c r="L167" s="33" t="s">
        <v>372</v>
      </c>
      <c r="M167" s="33" t="s">
        <v>373</v>
      </c>
      <c r="N167" s="33" t="s">
        <v>374</v>
      </c>
      <c r="O167" s="33" t="s">
        <v>375</v>
      </c>
      <c r="P167" s="33" t="s">
        <v>376</v>
      </c>
      <c r="Q167" s="160"/>
      <c r="S167" s="29" t="s">
        <v>377</v>
      </c>
      <c r="T167" s="70" t="s">
        <v>370</v>
      </c>
      <c r="U167" s="29" t="s">
        <v>371</v>
      </c>
      <c r="V167" s="29" t="s">
        <v>372</v>
      </c>
      <c r="W167" s="29" t="s">
        <v>373</v>
      </c>
      <c r="X167" s="29" t="s">
        <v>374</v>
      </c>
      <c r="Y167" s="29" t="s">
        <v>375</v>
      </c>
      <c r="Z167" s="29" t="s">
        <v>376</v>
      </c>
    </row>
    <row r="168" spans="1:26" x14ac:dyDescent="0.2">
      <c r="A168" s="160" t="s">
        <v>13</v>
      </c>
      <c r="B168" s="113">
        <v>0.35</v>
      </c>
      <c r="C168" s="113" t="s">
        <v>15</v>
      </c>
      <c r="D168" s="6">
        <f>VLOOKUP(A168,'Costo Materia Prima'!$D$3:$I$234,6,FALSE)*B168</f>
        <v>7.1399999999999988</v>
      </c>
      <c r="I168" s="33" t="s">
        <v>378</v>
      </c>
      <c r="J168" s="33">
        <v>0</v>
      </c>
      <c r="K168" s="87">
        <v>0.5</v>
      </c>
      <c r="L168" s="87">
        <v>0.9</v>
      </c>
      <c r="M168" s="87">
        <v>1.5</v>
      </c>
      <c r="N168" s="87">
        <v>0.09</v>
      </c>
      <c r="O168" s="87">
        <v>0</v>
      </c>
      <c r="P168" s="87">
        <v>0</v>
      </c>
      <c r="Q168" s="45"/>
      <c r="S168" s="29"/>
      <c r="T168" s="115">
        <f t="shared" ref="T168:Z168" si="66">IFERROR($D$177/J169,0)</f>
        <v>0</v>
      </c>
      <c r="U168" s="115">
        <f t="shared" si="66"/>
        <v>29.466233828124992</v>
      </c>
      <c r="V168" s="115">
        <f t="shared" si="66"/>
        <v>53.039220890624989</v>
      </c>
      <c r="W168" s="115">
        <f t="shared" si="66"/>
        <v>88.398701484374982</v>
      </c>
      <c r="X168" s="115">
        <f t="shared" si="66"/>
        <v>5.3039220890624987</v>
      </c>
      <c r="Y168" s="115">
        <f t="shared" si="66"/>
        <v>0</v>
      </c>
      <c r="Z168" s="115">
        <f t="shared" si="66"/>
        <v>0</v>
      </c>
    </row>
    <row r="169" spans="1:26" x14ac:dyDescent="0.2">
      <c r="A169" s="160" t="s">
        <v>230</v>
      </c>
      <c r="B169" s="113">
        <v>0.36</v>
      </c>
      <c r="C169" s="113" t="s">
        <v>21</v>
      </c>
      <c r="D169" s="6">
        <f>VLOOKUP(A169,'Costo Materia Prima'!$D$3:$I$234,6,FALSE)*B169</f>
        <v>6.66</v>
      </c>
      <c r="I169" s="33" t="s">
        <v>379</v>
      </c>
      <c r="J169" s="97">
        <f>IFERROR($G$166/J168,0)</f>
        <v>0</v>
      </c>
      <c r="K169" s="97">
        <f>IFERROR($G$166/K168,0)</f>
        <v>3.6</v>
      </c>
      <c r="L169" s="97">
        <f t="shared" ref="L169:P169" si="67">IFERROR($G$166/L168,0)</f>
        <v>2</v>
      </c>
      <c r="M169" s="97">
        <f t="shared" si="67"/>
        <v>1.2</v>
      </c>
      <c r="N169" s="97">
        <f t="shared" si="67"/>
        <v>20</v>
      </c>
      <c r="O169" s="97">
        <f t="shared" si="67"/>
        <v>0</v>
      </c>
      <c r="P169" s="97">
        <f t="shared" si="67"/>
        <v>0</v>
      </c>
      <c r="Q169" s="248"/>
      <c r="S169" s="29" t="s">
        <v>380</v>
      </c>
      <c r="T169" s="70" t="s">
        <v>370</v>
      </c>
      <c r="U169" s="29" t="s">
        <v>371</v>
      </c>
      <c r="V169" s="29" t="s">
        <v>372</v>
      </c>
      <c r="W169" s="29" t="s">
        <v>373</v>
      </c>
      <c r="X169" s="29" t="s">
        <v>374</v>
      </c>
      <c r="Y169" s="29" t="s">
        <v>375</v>
      </c>
      <c r="Z169" s="29" t="s">
        <v>376</v>
      </c>
    </row>
    <row r="170" spans="1:26" x14ac:dyDescent="0.2">
      <c r="A170" s="160" t="s">
        <v>65</v>
      </c>
      <c r="B170" s="113">
        <v>2E-3</v>
      </c>
      <c r="C170" s="113" t="s">
        <v>15</v>
      </c>
      <c r="D170" s="6">
        <f>VLOOKUP(A170,'Costo Materia Prima'!$D$3:$I$234,6,FALSE)*B170</f>
        <v>7.6799999999999993E-2</v>
      </c>
      <c r="G170" s="26">
        <v>0.02</v>
      </c>
      <c r="H170">
        <v>1300000</v>
      </c>
      <c r="I170" s="33" t="s">
        <v>381</v>
      </c>
      <c r="J170" s="97">
        <f>J169/2</f>
        <v>0</v>
      </c>
      <c r="K170" s="97">
        <f>K169/2</f>
        <v>1.8</v>
      </c>
      <c r="L170" s="97">
        <f>L169/2</f>
        <v>1</v>
      </c>
      <c r="M170" s="97">
        <f>M169/2</f>
        <v>0.6</v>
      </c>
      <c r="N170" s="97">
        <f>N169</f>
        <v>20</v>
      </c>
      <c r="O170" s="97">
        <f>O169</f>
        <v>0</v>
      </c>
      <c r="P170" s="97">
        <f t="shared" ref="P170" si="68">P169/2</f>
        <v>0</v>
      </c>
      <c r="Q170" s="248"/>
      <c r="S170" s="29"/>
      <c r="T170" s="53">
        <f>T168*2</f>
        <v>0</v>
      </c>
      <c r="U170" s="53">
        <f>U168*2</f>
        <v>58.932467656249983</v>
      </c>
      <c r="V170" s="53">
        <f t="shared" ref="V170:W170" si="69">V168*2</f>
        <v>106.07844178124998</v>
      </c>
      <c r="W170" s="53">
        <f t="shared" si="69"/>
        <v>176.79740296874996</v>
      </c>
      <c r="X170" s="53">
        <f>X168</f>
        <v>5.3039220890624987</v>
      </c>
      <c r="Y170" s="53">
        <f>Y168</f>
        <v>0</v>
      </c>
      <c r="Z170" s="53">
        <f t="shared" ref="Z170" si="70">Z168*2</f>
        <v>0</v>
      </c>
    </row>
    <row r="171" spans="1:26" x14ac:dyDescent="0.2">
      <c r="A171" s="160" t="s">
        <v>303</v>
      </c>
      <c r="B171" s="113">
        <v>6.0000000000000001E-3</v>
      </c>
      <c r="C171" s="113" t="s">
        <v>15</v>
      </c>
      <c r="D171" s="6">
        <f>VLOOKUP(A171,'Costo Materia Prima'!$D$3:$I$234,6,FALSE)*B171</f>
        <v>8.8250000000000009E-2</v>
      </c>
    </row>
    <row r="172" spans="1:26" x14ac:dyDescent="0.2">
      <c r="A172" s="160" t="s">
        <v>183</v>
      </c>
      <c r="B172" s="113">
        <v>1.4999999999999999E-2</v>
      </c>
      <c r="C172" s="113" t="s">
        <v>18</v>
      </c>
      <c r="D172" s="6">
        <f>VLOOKUP(A172,'Costo Materia Prima'!$D$3:$I$234,6,FALSE)*B172</f>
        <v>1.04432578125</v>
      </c>
    </row>
    <row r="173" spans="1:26" x14ac:dyDescent="0.2">
      <c r="A173" t="s">
        <v>313</v>
      </c>
      <c r="B173" s="113">
        <v>0.23</v>
      </c>
      <c r="C173" s="113" t="s">
        <v>15</v>
      </c>
      <c r="D173" s="6">
        <f>VLOOKUP(A173,'Costo Materia Prima'!$D$3:$I$234,6,FALSE)*B173</f>
        <v>40.249815999999996</v>
      </c>
    </row>
    <row r="174" spans="1:26" x14ac:dyDescent="0.2">
      <c r="A174" t="s">
        <v>61</v>
      </c>
      <c r="B174">
        <v>1.2E-2</v>
      </c>
      <c r="C174" t="s">
        <v>15</v>
      </c>
      <c r="D174" s="6">
        <f>VLOOKUP(A174,'Costo Materia Prima'!$D$3:$I$234,6,FALSE)*B174</f>
        <v>0.42525000000000002</v>
      </c>
    </row>
    <row r="175" spans="1:26" x14ac:dyDescent="0.2">
      <c r="A175" t="s">
        <v>311</v>
      </c>
      <c r="B175">
        <v>0.23</v>
      </c>
      <c r="C175" t="s">
        <v>15</v>
      </c>
      <c r="D175" s="6">
        <f>VLOOKUP(A175,'Costo Materia Prima'!$D$3:$I$234,6,FALSE)*B175</f>
        <v>35.65</v>
      </c>
    </row>
    <row r="176" spans="1:26" x14ac:dyDescent="0.2">
      <c r="A176" t="s">
        <v>26</v>
      </c>
      <c r="B176">
        <v>0.2</v>
      </c>
      <c r="C176" t="s">
        <v>18</v>
      </c>
      <c r="D176" s="6">
        <f>VLOOKUP(A176,'Costo Materia Prima'!$D$3:$I$234,6,FALSE)*B176</f>
        <v>3.91</v>
      </c>
    </row>
    <row r="177" spans="1:26" x14ac:dyDescent="0.2">
      <c r="D177" s="6">
        <f>SUM(D167:D176)</f>
        <v>106.07844178124998</v>
      </c>
      <c r="F177" s="13">
        <f>D177*2</f>
        <v>212.15688356249996</v>
      </c>
    </row>
    <row r="179" spans="1:26" x14ac:dyDescent="0.2">
      <c r="A179" s="310" t="s">
        <v>399</v>
      </c>
      <c r="B179" s="310"/>
      <c r="C179" s="310"/>
      <c r="D179" s="310"/>
    </row>
    <row r="180" spans="1:26" ht="16" thickBot="1" x14ac:dyDescent="0.25">
      <c r="A180" s="158" t="s">
        <v>341</v>
      </c>
      <c r="B180" s="158" t="s">
        <v>4</v>
      </c>
      <c r="C180" s="158" t="s">
        <v>5</v>
      </c>
      <c r="D180" s="158" t="s">
        <v>7</v>
      </c>
      <c r="F180" s="112" t="s">
        <v>364</v>
      </c>
      <c r="G180" s="112">
        <v>1.65</v>
      </c>
      <c r="H180" s="20" t="s">
        <v>15</v>
      </c>
      <c r="I180" s="321" t="s">
        <v>399</v>
      </c>
      <c r="J180" s="321"/>
      <c r="K180" s="321"/>
      <c r="L180" s="321"/>
      <c r="M180" s="321"/>
      <c r="N180" s="321"/>
      <c r="O180" s="321"/>
      <c r="P180" s="321"/>
      <c r="Q180" s="247"/>
      <c r="S180" s="318" t="s">
        <v>399</v>
      </c>
      <c r="T180" s="318"/>
      <c r="U180" s="318"/>
      <c r="V180" s="318"/>
      <c r="W180" s="318"/>
      <c r="X180" s="318"/>
      <c r="Y180" s="318"/>
      <c r="Z180" s="318"/>
    </row>
    <row r="181" spans="1:26" x14ac:dyDescent="0.2">
      <c r="A181" s="160" t="s">
        <v>126</v>
      </c>
      <c r="B181" s="113">
        <v>1.1519999999999999</v>
      </c>
      <c r="C181" s="113" t="s">
        <v>15</v>
      </c>
      <c r="D181" s="6">
        <f>VLOOKUP(A181,'Costo Materia Prima'!D3:$I$1018,6,FALSE)*B181</f>
        <v>155.85882352941175</v>
      </c>
      <c r="F181" s="112" t="s">
        <v>362</v>
      </c>
      <c r="G181" s="85">
        <f>IFERROR(D186/G180,D186)</f>
        <v>101.46628326609751</v>
      </c>
      <c r="I181" s="33" t="s">
        <v>369</v>
      </c>
      <c r="J181" s="33" t="s">
        <v>370</v>
      </c>
      <c r="K181" s="33" t="s">
        <v>371</v>
      </c>
      <c r="L181" s="33" t="s">
        <v>372</v>
      </c>
      <c r="M181" s="33" t="s">
        <v>373</v>
      </c>
      <c r="N181" s="33" t="s">
        <v>374</v>
      </c>
      <c r="O181" s="33" t="s">
        <v>375</v>
      </c>
      <c r="P181" s="33" t="s">
        <v>376</v>
      </c>
      <c r="Q181" s="160"/>
      <c r="S181" s="29" t="s">
        <v>377</v>
      </c>
      <c r="T181" s="70" t="s">
        <v>370</v>
      </c>
      <c r="U181" s="29" t="s">
        <v>371</v>
      </c>
      <c r="V181" s="29" t="s">
        <v>372</v>
      </c>
      <c r="W181" s="29" t="s">
        <v>373</v>
      </c>
      <c r="X181" s="29" t="s">
        <v>374</v>
      </c>
      <c r="Y181" s="29" t="s">
        <v>375</v>
      </c>
      <c r="Z181" s="29" t="s">
        <v>376</v>
      </c>
    </row>
    <row r="182" spans="1:26" x14ac:dyDescent="0.2">
      <c r="A182" s="160" t="s">
        <v>132</v>
      </c>
      <c r="B182" s="113">
        <v>2</v>
      </c>
      <c r="C182" s="113" t="s">
        <v>398</v>
      </c>
      <c r="D182" s="6">
        <f>VLOOKUP(A182,'Costo Materia Prima'!$D$3:$I$234,6,FALSE)*B182</f>
        <v>3.6113333333333331</v>
      </c>
      <c r="I182" s="33" t="s">
        <v>378</v>
      </c>
      <c r="J182" s="33">
        <v>0</v>
      </c>
      <c r="K182" s="87">
        <v>0.55000000000000004</v>
      </c>
      <c r="L182" s="87">
        <v>0</v>
      </c>
      <c r="M182" s="87">
        <v>0</v>
      </c>
      <c r="N182" s="87">
        <v>0</v>
      </c>
      <c r="O182" s="87">
        <v>0</v>
      </c>
      <c r="P182" s="87">
        <v>0</v>
      </c>
      <c r="Q182" s="45"/>
      <c r="S182" s="29"/>
      <c r="T182" s="115">
        <f t="shared" ref="T182:Z182" si="71">IFERROR($D$186/J183,0)</f>
        <v>0</v>
      </c>
      <c r="U182" s="115">
        <f t="shared" si="71"/>
        <v>55.806455796353632</v>
      </c>
      <c r="V182" s="115">
        <f t="shared" si="71"/>
        <v>0</v>
      </c>
      <c r="W182" s="115">
        <f t="shared" si="71"/>
        <v>0</v>
      </c>
      <c r="X182" s="115">
        <f t="shared" si="71"/>
        <v>0</v>
      </c>
      <c r="Y182" s="115">
        <f t="shared" si="71"/>
        <v>0</v>
      </c>
      <c r="Z182" s="115">
        <f t="shared" si="71"/>
        <v>0</v>
      </c>
    </row>
    <row r="183" spans="1:26" x14ac:dyDescent="0.2">
      <c r="A183" s="160" t="s">
        <v>30</v>
      </c>
      <c r="B183" s="113">
        <v>0.15</v>
      </c>
      <c r="C183" s="113" t="s">
        <v>18</v>
      </c>
      <c r="D183" s="6">
        <f>VLOOKUP(A183,'Costo Materia Prima'!$D$3:$I$234,6,FALSE)*B183</f>
        <v>6.1499999999999995</v>
      </c>
      <c r="I183" s="33" t="s">
        <v>379</v>
      </c>
      <c r="J183" s="97">
        <f>IFERROR($G$180/J182,0)</f>
        <v>0</v>
      </c>
      <c r="K183" s="97">
        <f>IFERROR($G$180/K182,0)</f>
        <v>2.9999999999999996</v>
      </c>
      <c r="L183" s="97">
        <f t="shared" ref="L183:P183" si="72">IFERROR($G$180/L182,0)</f>
        <v>0</v>
      </c>
      <c r="M183" s="97">
        <f t="shared" si="72"/>
        <v>0</v>
      </c>
      <c r="N183" s="97">
        <f t="shared" si="72"/>
        <v>0</v>
      </c>
      <c r="O183" s="97">
        <f t="shared" si="72"/>
        <v>0</v>
      </c>
      <c r="P183" s="97">
        <f t="shared" si="72"/>
        <v>0</v>
      </c>
      <c r="Q183" s="248"/>
      <c r="S183" s="29" t="s">
        <v>380</v>
      </c>
      <c r="T183" s="70" t="s">
        <v>370</v>
      </c>
      <c r="U183" s="29" t="s">
        <v>371</v>
      </c>
      <c r="V183" s="29" t="s">
        <v>372</v>
      </c>
      <c r="W183" s="29" t="s">
        <v>373</v>
      </c>
      <c r="X183" s="29" t="s">
        <v>374</v>
      </c>
      <c r="Y183" s="29" t="s">
        <v>375</v>
      </c>
      <c r="Z183" s="29" t="s">
        <v>376</v>
      </c>
    </row>
    <row r="184" spans="1:26" x14ac:dyDescent="0.2">
      <c r="A184" s="160" t="s">
        <v>200</v>
      </c>
      <c r="B184" s="113">
        <v>0.15</v>
      </c>
      <c r="C184" s="113" t="s">
        <v>18</v>
      </c>
      <c r="D184" s="6">
        <f>VLOOKUP(A184,'Costo Materia Prima'!$D$3:$I$234,6,FALSE)*B184</f>
        <v>0.13421052631578947</v>
      </c>
      <c r="I184" s="33" t="s">
        <v>381</v>
      </c>
      <c r="J184" s="97">
        <f>J183/2</f>
        <v>0</v>
      </c>
      <c r="K184" s="97">
        <f>K183/3</f>
        <v>0.99999999999999989</v>
      </c>
      <c r="L184" s="97">
        <f>L183/2</f>
        <v>0</v>
      </c>
      <c r="M184" s="97">
        <f>M183/2</f>
        <v>0</v>
      </c>
      <c r="N184" s="97">
        <f>N183</f>
        <v>0</v>
      </c>
      <c r="O184" s="97">
        <f>O183</f>
        <v>0</v>
      </c>
      <c r="P184" s="97">
        <f t="shared" ref="P184" si="73">P183/2</f>
        <v>0</v>
      </c>
      <c r="Q184" s="248"/>
      <c r="S184" s="29"/>
      <c r="T184" s="53">
        <f>T182</f>
        <v>0</v>
      </c>
      <c r="U184" s="53">
        <f>U182*K183</f>
        <v>167.41936738906088</v>
      </c>
      <c r="V184" s="53">
        <f t="shared" ref="V184:Z184" si="74">V182</f>
        <v>0</v>
      </c>
      <c r="W184" s="53">
        <f t="shared" si="74"/>
        <v>0</v>
      </c>
      <c r="X184" s="53">
        <f t="shared" si="74"/>
        <v>0</v>
      </c>
      <c r="Y184" s="53">
        <f t="shared" si="74"/>
        <v>0</v>
      </c>
      <c r="Z184" s="53">
        <f t="shared" si="74"/>
        <v>0</v>
      </c>
    </row>
    <row r="185" spans="1:26" x14ac:dyDescent="0.2">
      <c r="A185" s="160" t="s">
        <v>230</v>
      </c>
      <c r="B185" s="113">
        <v>0.09</v>
      </c>
      <c r="C185" s="113" t="s">
        <v>15</v>
      </c>
      <c r="D185" s="6">
        <f>VLOOKUP(A185,'Costo Materia Prima'!$D$3:$I$234,6,FALSE)*B185</f>
        <v>1.665</v>
      </c>
    </row>
    <row r="186" spans="1:26" x14ac:dyDescent="0.2">
      <c r="B186" s="310" t="s">
        <v>344</v>
      </c>
      <c r="C186" s="310"/>
      <c r="D186" s="6">
        <f>SUM(D181:D185)</f>
        <v>167.41936738906088</v>
      </c>
    </row>
    <row r="188" spans="1:26" x14ac:dyDescent="0.2">
      <c r="A188" s="310" t="s">
        <v>603</v>
      </c>
      <c r="B188" s="310"/>
      <c r="C188" s="310"/>
      <c r="D188" s="310"/>
    </row>
    <row r="189" spans="1:26" ht="16" thickBot="1" x14ac:dyDescent="0.25">
      <c r="A189" s="158" t="s">
        <v>341</v>
      </c>
      <c r="B189" s="158" t="s">
        <v>4</v>
      </c>
      <c r="C189" s="158" t="s">
        <v>5</v>
      </c>
      <c r="D189" s="158" t="s">
        <v>7</v>
      </c>
      <c r="F189" s="112" t="s">
        <v>364</v>
      </c>
      <c r="G189" s="112">
        <v>37.340000000000003</v>
      </c>
      <c r="H189" s="20"/>
      <c r="I189" s="320" t="s">
        <v>390</v>
      </c>
      <c r="J189" s="320"/>
      <c r="K189" s="320"/>
      <c r="L189" s="318"/>
      <c r="M189" s="318"/>
      <c r="N189" s="318"/>
      <c r="O189" s="318"/>
      <c r="P189" s="318"/>
      <c r="Q189" s="247"/>
      <c r="S189" s="318" t="s">
        <v>390</v>
      </c>
      <c r="T189" s="318"/>
      <c r="U189" s="318"/>
      <c r="V189" s="318"/>
      <c r="W189" s="318"/>
      <c r="X189" s="318"/>
      <c r="Y189" s="318"/>
      <c r="Z189" s="318"/>
    </row>
    <row r="190" spans="1:26" x14ac:dyDescent="0.2">
      <c r="A190" s="160" t="s">
        <v>141</v>
      </c>
      <c r="B190" s="113">
        <v>22.68</v>
      </c>
      <c r="C190" s="113" t="s">
        <v>15</v>
      </c>
      <c r="D190" s="6">
        <f>VLOOKUP(A190,'Costo Materia Prima'!$D$3:$I$234,6,FALSE)*B190</f>
        <v>1011.6888888888889</v>
      </c>
      <c r="F190" s="112" t="s">
        <v>362</v>
      </c>
      <c r="G190" s="85">
        <f>IFERROR(D196/G189,D196)</f>
        <v>79.831674253814853</v>
      </c>
      <c r="I190" s="33" t="s">
        <v>369</v>
      </c>
      <c r="J190" s="33" t="s">
        <v>370</v>
      </c>
      <c r="K190" s="33" t="s">
        <v>371</v>
      </c>
      <c r="L190" s="114" t="s">
        <v>372</v>
      </c>
      <c r="M190" s="29" t="s">
        <v>373</v>
      </c>
      <c r="N190" s="29" t="s">
        <v>374</v>
      </c>
      <c r="O190" s="29" t="s">
        <v>375</v>
      </c>
      <c r="P190" s="29" t="s">
        <v>376</v>
      </c>
      <c r="Q190" s="160"/>
      <c r="S190" s="29" t="s">
        <v>377</v>
      </c>
      <c r="T190" s="70" t="s">
        <v>370</v>
      </c>
      <c r="U190" s="29" t="s">
        <v>371</v>
      </c>
      <c r="V190" s="29" t="s">
        <v>372</v>
      </c>
      <c r="W190" s="29" t="s">
        <v>373</v>
      </c>
      <c r="X190" s="29" t="s">
        <v>374</v>
      </c>
      <c r="Y190" s="29" t="s">
        <v>375</v>
      </c>
      <c r="Z190" s="29" t="s">
        <v>376</v>
      </c>
    </row>
    <row r="191" spans="1:26" x14ac:dyDescent="0.2">
      <c r="A191" s="160" t="s">
        <v>132</v>
      </c>
      <c r="B191" s="113">
        <v>158</v>
      </c>
      <c r="C191" s="113" t="s">
        <v>21</v>
      </c>
      <c r="D191" s="6">
        <f>VLOOKUP(A191,'Costo Materia Prima'!$D$3:$I$234,6,FALSE)*B191</f>
        <v>285.2953333333333</v>
      </c>
      <c r="I191" s="33" t="s">
        <v>378</v>
      </c>
      <c r="J191" s="33">
        <v>0.32500000000000001</v>
      </c>
      <c r="K191" s="87">
        <v>0.39</v>
      </c>
      <c r="L191" s="63">
        <v>0.54</v>
      </c>
      <c r="M191" s="63">
        <v>0.96</v>
      </c>
      <c r="N191" s="64">
        <v>0.09</v>
      </c>
      <c r="O191" s="64">
        <v>0.15</v>
      </c>
      <c r="P191" s="65">
        <f>2.3-0.664</f>
        <v>1.6359999999999997</v>
      </c>
      <c r="Q191" s="45"/>
      <c r="S191" s="29"/>
      <c r="T191" s="53">
        <f t="shared" ref="T191:Z191" si="75">$D$196/J192</f>
        <v>25.945294132489828</v>
      </c>
      <c r="U191" s="53">
        <f t="shared" si="75"/>
        <v>31.134352958987794</v>
      </c>
      <c r="V191" s="53">
        <f t="shared" si="75"/>
        <v>43.109104097060019</v>
      </c>
      <c r="W191" s="53">
        <f t="shared" si="75"/>
        <v>76.638407283662261</v>
      </c>
      <c r="X191" s="53">
        <f t="shared" si="75"/>
        <v>7.1848506828433374</v>
      </c>
      <c r="Y191" s="53">
        <f t="shared" si="75"/>
        <v>11.974751138072227</v>
      </c>
      <c r="Z191" s="53">
        <f t="shared" si="75"/>
        <v>130.60461907924108</v>
      </c>
    </row>
    <row r="192" spans="1:26" x14ac:dyDescent="0.2">
      <c r="A192" s="160" t="s">
        <v>200</v>
      </c>
      <c r="B192" s="113">
        <v>5.0999999999999996</v>
      </c>
      <c r="C192" s="113" t="s">
        <v>15</v>
      </c>
      <c r="D192" s="6">
        <f>VLOOKUP(A192,'Costo Materia Prima'!$D$3:$I$234,6,FALSE)*B192</f>
        <v>4.5631578947368414</v>
      </c>
      <c r="I192" s="33" t="s">
        <v>379</v>
      </c>
      <c r="J192" s="97">
        <f>IFERROR($G$189/J191,0)</f>
        <v>114.8923076923077</v>
      </c>
      <c r="K192" s="97">
        <f t="shared" ref="K192:P192" si="76">IFERROR($G$189/K191,0)</f>
        <v>95.743589743589752</v>
      </c>
      <c r="L192" s="97">
        <f t="shared" si="76"/>
        <v>69.148148148148152</v>
      </c>
      <c r="M192" s="97">
        <f t="shared" si="76"/>
        <v>38.895833333333336</v>
      </c>
      <c r="N192" s="97">
        <f t="shared" si="76"/>
        <v>414.88888888888891</v>
      </c>
      <c r="O192" s="97">
        <f t="shared" si="76"/>
        <v>248.93333333333337</v>
      </c>
      <c r="P192" s="97">
        <f t="shared" si="76"/>
        <v>22.823960880195607</v>
      </c>
      <c r="Q192" s="248"/>
      <c r="S192" s="29" t="s">
        <v>380</v>
      </c>
      <c r="T192" s="70" t="s">
        <v>370</v>
      </c>
      <c r="U192" s="29" t="s">
        <v>371</v>
      </c>
      <c r="V192" s="29" t="s">
        <v>372</v>
      </c>
      <c r="W192" s="29" t="s">
        <v>373</v>
      </c>
      <c r="X192" s="29" t="s">
        <v>374</v>
      </c>
      <c r="Y192" s="29" t="s">
        <v>375</v>
      </c>
      <c r="Z192" s="29" t="s">
        <v>376</v>
      </c>
    </row>
    <row r="193" spans="1:27" x14ac:dyDescent="0.2">
      <c r="A193" s="160" t="s">
        <v>30</v>
      </c>
      <c r="B193" s="113">
        <v>5.6</v>
      </c>
      <c r="C193" s="113" t="s">
        <v>15</v>
      </c>
      <c r="D193" s="6">
        <f>VLOOKUP(A193,'Costo Materia Prima'!$D$3:$I$234,6,FALSE)*B193</f>
        <v>229.6</v>
      </c>
      <c r="I193" s="40" t="s">
        <v>381</v>
      </c>
      <c r="J193" s="66">
        <f>J192</f>
        <v>114.8923076923077</v>
      </c>
      <c r="K193" s="66">
        <f>K192/2</f>
        <v>47.871794871794876</v>
      </c>
      <c r="L193" s="66">
        <f>L192/2</f>
        <v>34.574074074074076</v>
      </c>
      <c r="M193" s="66">
        <f>M192/2</f>
        <v>19.447916666666668</v>
      </c>
      <c r="N193" s="66">
        <f>N192</f>
        <v>414.88888888888891</v>
      </c>
      <c r="O193" s="66">
        <f>O192</f>
        <v>248.93333333333337</v>
      </c>
      <c r="P193" s="66">
        <f t="shared" ref="P193" si="77">P192/2</f>
        <v>11.411980440097803</v>
      </c>
      <c r="Q193" s="248"/>
      <c r="S193" s="29"/>
      <c r="T193" s="53">
        <f>T191</f>
        <v>25.945294132489828</v>
      </c>
      <c r="U193" s="53">
        <f>U191*2</f>
        <v>62.268705917975588</v>
      </c>
      <c r="V193" s="53">
        <f t="shared" ref="V193:W193" si="78">V191*2</f>
        <v>86.218208194120038</v>
      </c>
      <c r="W193" s="53">
        <f t="shared" si="78"/>
        <v>153.27681456732452</v>
      </c>
      <c r="X193" s="53">
        <f>X191</f>
        <v>7.1848506828433374</v>
      </c>
      <c r="Y193" s="53">
        <f>Y191</f>
        <v>11.974751138072227</v>
      </c>
      <c r="Z193" s="53">
        <f t="shared" ref="Z193" si="79">Z191*2</f>
        <v>261.20923815848215</v>
      </c>
    </row>
    <row r="194" spans="1:27" x14ac:dyDescent="0.2">
      <c r="A194" s="160" t="s">
        <v>61</v>
      </c>
      <c r="B194" s="113">
        <v>0.22</v>
      </c>
      <c r="C194" s="113" t="s">
        <v>15</v>
      </c>
      <c r="D194" s="6">
        <f>VLOOKUP(A194,'Costo Materia Prima'!$D$3:$I$234,6,FALSE)*B194</f>
        <v>7.7962499999999997</v>
      </c>
      <c r="F194" s="2" t="s">
        <v>606</v>
      </c>
      <c r="G194" s="2">
        <v>0.33</v>
      </c>
    </row>
    <row r="195" spans="1:27" x14ac:dyDescent="0.2">
      <c r="A195" s="160" t="s">
        <v>604</v>
      </c>
      <c r="B195" s="113">
        <f>G195</f>
        <v>12.322200000000002</v>
      </c>
      <c r="C195" s="113" t="s">
        <v>15</v>
      </c>
      <c r="D195" s="6">
        <f>B195*'Insumos 1'!G121</f>
        <v>1441.9710865204879</v>
      </c>
      <c r="G195" s="2">
        <f>G194*G189</f>
        <v>12.322200000000002</v>
      </c>
      <c r="L195">
        <v>24</v>
      </c>
    </row>
    <row r="196" spans="1:27" x14ac:dyDescent="0.2">
      <c r="B196" s="310" t="s">
        <v>344</v>
      </c>
      <c r="C196" s="310"/>
      <c r="D196" s="32">
        <f>SUM(D190:D195)</f>
        <v>2980.9147166374469</v>
      </c>
    </row>
    <row r="198" spans="1:27" x14ac:dyDescent="0.2">
      <c r="A198" s="310" t="s">
        <v>387</v>
      </c>
      <c r="B198" s="310"/>
      <c r="C198" s="310"/>
      <c r="D198" s="310"/>
    </row>
    <row r="199" spans="1:27" ht="16" thickBot="1" x14ac:dyDescent="0.25">
      <c r="A199" s="158" t="s">
        <v>341</v>
      </c>
      <c r="B199" s="158" t="s">
        <v>4</v>
      </c>
      <c r="C199" s="158" t="s">
        <v>5</v>
      </c>
      <c r="D199" s="158" t="s">
        <v>7</v>
      </c>
      <c r="F199" s="112" t="s">
        <v>364</v>
      </c>
      <c r="G199" s="112">
        <v>1.88</v>
      </c>
      <c r="H199" s="20"/>
      <c r="I199" s="322" t="s">
        <v>387</v>
      </c>
      <c r="J199" s="322"/>
      <c r="K199" s="322"/>
      <c r="L199" s="322"/>
      <c r="M199" s="322"/>
      <c r="N199" s="322"/>
      <c r="O199" s="322"/>
      <c r="P199" s="322"/>
      <c r="Q199" s="322"/>
      <c r="S199" s="322" t="s">
        <v>387</v>
      </c>
      <c r="T199" s="322"/>
      <c r="U199" s="322"/>
      <c r="V199" s="322"/>
      <c r="W199" s="322"/>
      <c r="X199" s="322"/>
      <c r="Y199" s="322"/>
      <c r="Z199" s="322"/>
      <c r="AA199" s="322"/>
    </row>
    <row r="200" spans="1:27" x14ac:dyDescent="0.2">
      <c r="A200" s="160" t="s">
        <v>137</v>
      </c>
      <c r="B200" s="113">
        <v>1</v>
      </c>
      <c r="C200" s="113" t="s">
        <v>15</v>
      </c>
      <c r="D200" s="6">
        <f>VLOOKUP(A200,'Costo Materia Prima'!$D$3:$I$234,6,FALSE)*B200</f>
        <v>54.022222222222226</v>
      </c>
      <c r="F200" s="112" t="s">
        <v>362</v>
      </c>
      <c r="G200" s="85">
        <f>D205/G199</f>
        <v>42.402731701816606</v>
      </c>
      <c r="I200" s="33" t="s">
        <v>369</v>
      </c>
      <c r="J200" s="33" t="s">
        <v>370</v>
      </c>
      <c r="K200" s="33" t="s">
        <v>371</v>
      </c>
      <c r="L200" s="33" t="s">
        <v>372</v>
      </c>
      <c r="M200" s="33" t="s">
        <v>373</v>
      </c>
      <c r="N200" s="33" t="s">
        <v>374</v>
      </c>
      <c r="O200" s="33" t="s">
        <v>375</v>
      </c>
      <c r="P200" s="33" t="s">
        <v>376</v>
      </c>
      <c r="Q200" s="33" t="s">
        <v>759</v>
      </c>
      <c r="S200" s="33" t="s">
        <v>377</v>
      </c>
      <c r="T200" s="33" t="s">
        <v>370</v>
      </c>
      <c r="U200" s="33" t="s">
        <v>371</v>
      </c>
      <c r="V200" s="33" t="s">
        <v>372</v>
      </c>
      <c r="W200" s="33" t="s">
        <v>373</v>
      </c>
      <c r="X200" s="33" t="s">
        <v>374</v>
      </c>
      <c r="Y200" s="33" t="s">
        <v>375</v>
      </c>
      <c r="Z200" s="33" t="s">
        <v>376</v>
      </c>
      <c r="AA200" s="33" t="s">
        <v>759</v>
      </c>
    </row>
    <row r="201" spans="1:27" x14ac:dyDescent="0.2">
      <c r="A201" s="160" t="s">
        <v>132</v>
      </c>
      <c r="B201" s="113">
        <v>7</v>
      </c>
      <c r="C201" s="113" t="s">
        <v>21</v>
      </c>
      <c r="D201" s="6">
        <f>VLOOKUP(A201,'Costo Materia Prima'!$D$3:$I$234,6,FALSE)*B201</f>
        <v>12.639666666666665</v>
      </c>
      <c r="E201">
        <v>0.35</v>
      </c>
      <c r="I201" s="33" t="s">
        <v>378</v>
      </c>
      <c r="J201" s="33">
        <v>0.34</v>
      </c>
      <c r="K201" s="87">
        <v>0.38</v>
      </c>
      <c r="L201" s="87">
        <v>0.56999999999999995</v>
      </c>
      <c r="M201" s="87">
        <v>0.89</v>
      </c>
      <c r="N201" s="87">
        <v>7.4999999999999997E-2</v>
      </c>
      <c r="O201" s="87">
        <v>0.18</v>
      </c>
      <c r="P201" s="87">
        <v>2.2000000000000002</v>
      </c>
      <c r="Q201" s="87">
        <v>1.2</v>
      </c>
      <c r="S201" s="33"/>
      <c r="T201" s="91">
        <f>($D$205/J202)</f>
        <v>14.416928778617647</v>
      </c>
      <c r="U201" s="91">
        <f>($D$205/K202)</f>
        <v>16.11303804669031</v>
      </c>
      <c r="V201" s="91">
        <f>($D$205/L202)</f>
        <v>24.169557070035463</v>
      </c>
      <c r="W201" s="91">
        <f>($D$205/M202)</f>
        <v>37.738431214616782</v>
      </c>
      <c r="X201" s="91">
        <f>($D$205/N202)</f>
        <v>3.1802048776362453</v>
      </c>
      <c r="Y201" s="91">
        <f t="shared" ref="Y201:AA201" si="80">$D$205/O202</f>
        <v>7.6324917063269888</v>
      </c>
      <c r="Z201" s="91">
        <f t="shared" si="80"/>
        <v>93.286009743996544</v>
      </c>
      <c r="AA201" s="91">
        <f t="shared" si="80"/>
        <v>50.883278042179924</v>
      </c>
    </row>
    <row r="202" spans="1:27" x14ac:dyDescent="0.2">
      <c r="A202" s="160" t="s">
        <v>200</v>
      </c>
      <c r="B202" s="113">
        <v>0.25</v>
      </c>
      <c r="C202" s="113" t="s">
        <v>15</v>
      </c>
      <c r="D202" s="6">
        <f>VLOOKUP(A202,'Costo Materia Prima'!$D$3:$I$234,6,FALSE)*B202</f>
        <v>0.22368421052631579</v>
      </c>
      <c r="F202" t="s">
        <v>735</v>
      </c>
      <c r="G202" s="13">
        <f>[2]PAN!$L$19</f>
        <v>0.96969280643393785</v>
      </c>
      <c r="H202" t="s">
        <v>370</v>
      </c>
      <c r="I202" s="33" t="s">
        <v>379</v>
      </c>
      <c r="J202" s="97">
        <f>$G$199/J201</f>
        <v>5.5294117647058814</v>
      </c>
      <c r="K202" s="97">
        <f t="shared" ref="K202:M202" si="81">$G$199/K201</f>
        <v>4.947368421052631</v>
      </c>
      <c r="L202" s="97">
        <f t="shared" si="81"/>
        <v>3.2982456140350878</v>
      </c>
      <c r="M202" s="97">
        <f t="shared" si="81"/>
        <v>2.1123595505617976</v>
      </c>
      <c r="N202" s="97">
        <f>$G$199/N201</f>
        <v>25.066666666666666</v>
      </c>
      <c r="O202" s="97">
        <f>$G$199/O201</f>
        <v>10.444444444444445</v>
      </c>
      <c r="P202" s="97">
        <f t="shared" ref="P202:Q202" si="82">$G$79/P201</f>
        <v>0.85454545454545439</v>
      </c>
      <c r="Q202" s="97">
        <f t="shared" si="82"/>
        <v>1.5666666666666667</v>
      </c>
      <c r="S202" s="33" t="s">
        <v>380</v>
      </c>
      <c r="T202" s="33" t="s">
        <v>370</v>
      </c>
      <c r="U202" s="33" t="s">
        <v>371</v>
      </c>
      <c r="V202" s="33" t="s">
        <v>372</v>
      </c>
      <c r="W202" s="33" t="s">
        <v>373</v>
      </c>
      <c r="X202" s="33" t="s">
        <v>374</v>
      </c>
      <c r="Y202" s="33" t="s">
        <v>375</v>
      </c>
      <c r="Z202" s="33" t="s">
        <v>376</v>
      </c>
      <c r="AA202" s="33" t="s">
        <v>376</v>
      </c>
    </row>
    <row r="203" spans="1:27" x14ac:dyDescent="0.2">
      <c r="A203" s="160" t="s">
        <v>30</v>
      </c>
      <c r="B203" s="113">
        <v>0.3</v>
      </c>
      <c r="C203" s="113" t="s">
        <v>15</v>
      </c>
      <c r="D203" s="6">
        <f>VLOOKUP(A203,'Costo Materia Prima'!$D$3:$I$234,6,FALSE)*B203</f>
        <v>12.299999999999999</v>
      </c>
      <c r="F203" t="s">
        <v>735</v>
      </c>
      <c r="G203" s="13">
        <f>[2]PAN!$L$18</f>
        <v>2.1333241741546631</v>
      </c>
      <c r="H203" t="s">
        <v>371</v>
      </c>
      <c r="I203" s="33" t="s">
        <v>381</v>
      </c>
      <c r="J203" s="97">
        <f>J202</f>
        <v>5.5294117647058814</v>
      </c>
      <c r="K203" s="97">
        <f>K202/2</f>
        <v>2.4736842105263155</v>
      </c>
      <c r="L203" s="97">
        <f t="shared" ref="L203:O203" si="83">L202/2</f>
        <v>1.6491228070175439</v>
      </c>
      <c r="M203" s="97">
        <f t="shared" si="83"/>
        <v>1.0561797752808988</v>
      </c>
      <c r="N203" s="97">
        <f t="shared" si="83"/>
        <v>12.533333333333333</v>
      </c>
      <c r="O203" s="97">
        <f t="shared" si="83"/>
        <v>5.2222222222222223</v>
      </c>
      <c r="P203" s="97">
        <f>P202/2</f>
        <v>0.42727272727272719</v>
      </c>
      <c r="Q203" s="97">
        <f>Q202/2</f>
        <v>0.78333333333333333</v>
      </c>
      <c r="S203" s="33"/>
      <c r="T203" s="91">
        <f>T201</f>
        <v>14.416928778617647</v>
      </c>
      <c r="U203" s="91">
        <f>U201*2</f>
        <v>32.22607609338062</v>
      </c>
      <c r="V203" s="91">
        <f t="shared" ref="V203:W203" si="84">V201*2</f>
        <v>48.339114140070926</v>
      </c>
      <c r="W203" s="91">
        <f t="shared" si="84"/>
        <v>75.476862429233563</v>
      </c>
      <c r="X203" s="91">
        <f>X201</f>
        <v>3.1802048776362453</v>
      </c>
      <c r="Y203" s="91">
        <f>Y201</f>
        <v>7.6324917063269888</v>
      </c>
      <c r="Z203" s="91">
        <f>Z201*2</f>
        <v>186.57201948799309</v>
      </c>
      <c r="AA203" s="91">
        <f>AA201</f>
        <v>50.883278042179924</v>
      </c>
    </row>
    <row r="204" spans="1:27" x14ac:dyDescent="0.2">
      <c r="A204" s="160" t="s">
        <v>61</v>
      </c>
      <c r="B204" s="113">
        <v>1.4999999999999999E-2</v>
      </c>
      <c r="C204" s="113" t="s">
        <v>15</v>
      </c>
      <c r="D204" s="6">
        <f>VLOOKUP(A204,'Costo Materia Prima'!$D$3:$I$234,6,FALSE)*B204</f>
        <v>0.53156249999999994</v>
      </c>
      <c r="F204" t="s">
        <v>735</v>
      </c>
      <c r="G204" s="13">
        <f>[2]PAN!$L$17</f>
        <v>3.5555402902577722</v>
      </c>
      <c r="H204" t="s">
        <v>372</v>
      </c>
    </row>
    <row r="205" spans="1:27" x14ac:dyDescent="0.2">
      <c r="B205" s="310" t="s">
        <v>344</v>
      </c>
      <c r="C205" s="310"/>
      <c r="D205" s="32">
        <f>SUM(D200:D204)</f>
        <v>79.717135599415215</v>
      </c>
      <c r="F205" t="s">
        <v>735</v>
      </c>
      <c r="G205" s="13">
        <f>[2]PAN!$L$16</f>
        <v>5.3333104353866583</v>
      </c>
      <c r="H205" t="s">
        <v>373</v>
      </c>
    </row>
    <row r="206" spans="1:27" ht="16" customHeight="1" x14ac:dyDescent="0.2"/>
    <row r="207" spans="1:27" x14ac:dyDescent="0.2">
      <c r="A207" s="310" t="s">
        <v>646</v>
      </c>
      <c r="B207" s="310"/>
      <c r="C207" s="310"/>
      <c r="D207" s="310"/>
    </row>
    <row r="208" spans="1:27" ht="16" thickBot="1" x14ac:dyDescent="0.25">
      <c r="A208" s="158" t="s">
        <v>341</v>
      </c>
      <c r="B208" s="158" t="s">
        <v>4</v>
      </c>
      <c r="C208" s="158" t="s">
        <v>5</v>
      </c>
      <c r="D208" s="158" t="s">
        <v>7</v>
      </c>
      <c r="E208" s="159" t="s">
        <v>647</v>
      </c>
      <c r="F208" s="112" t="s">
        <v>364</v>
      </c>
      <c r="G208" s="112">
        <v>0.38</v>
      </c>
    </row>
    <row r="209" spans="1:26" x14ac:dyDescent="0.2">
      <c r="A209" t="s">
        <v>230</v>
      </c>
      <c r="B209" s="252">
        <v>0.12</v>
      </c>
      <c r="C209" s="113" t="s">
        <v>15</v>
      </c>
      <c r="D209" s="6">
        <f>VLOOKUP(A209,'Costo Materia Prima'!$D$3:$I$234,6,FALSE)*B209</f>
        <v>2.2199999999999998</v>
      </c>
      <c r="E209" s="12">
        <f t="shared" ref="E209:E215" si="85">B209/$G$208</f>
        <v>0.31578947368421051</v>
      </c>
      <c r="F209" s="112" t="s">
        <v>362</v>
      </c>
      <c r="G209" s="85">
        <f>D216/G208</f>
        <v>102.26439585326951</v>
      </c>
    </row>
    <row r="210" spans="1:26" x14ac:dyDescent="0.2">
      <c r="A210" t="s">
        <v>124</v>
      </c>
      <c r="B210" s="252">
        <v>0.1</v>
      </c>
      <c r="C210" s="113" t="s">
        <v>15</v>
      </c>
      <c r="D210" s="6">
        <f>VLOOKUP(A210,'Costo Materia Prima'!$D$3:$I$234,6,FALSE)*B210</f>
        <v>5.18</v>
      </c>
      <c r="E210" s="12">
        <f t="shared" si="85"/>
        <v>0.26315789473684209</v>
      </c>
    </row>
    <row r="211" spans="1:26" x14ac:dyDescent="0.2">
      <c r="A211" t="s">
        <v>313</v>
      </c>
      <c r="B211" s="252">
        <v>0.09</v>
      </c>
      <c r="C211" s="113" t="s">
        <v>15</v>
      </c>
      <c r="D211" s="6">
        <f>VLOOKUP(A211,'Costo Materia Prima'!$D$3:$I$234,6,FALSE)*B211</f>
        <v>15.749927999999997</v>
      </c>
      <c r="E211" s="12">
        <f t="shared" si="85"/>
        <v>0.23684210526315788</v>
      </c>
    </row>
    <row r="212" spans="1:26" x14ac:dyDescent="0.2">
      <c r="A212" t="s">
        <v>82</v>
      </c>
      <c r="B212" s="252">
        <v>0.06</v>
      </c>
      <c r="C212" s="113" t="s">
        <v>15</v>
      </c>
      <c r="D212" s="6">
        <f>VLOOKUP(A212,'Costo Materia Prima'!$D$3:$I$234,6,FALSE)*B212</f>
        <v>13.139999999999999</v>
      </c>
      <c r="E212" s="12">
        <f t="shared" si="85"/>
        <v>0.15789473684210525</v>
      </c>
    </row>
    <row r="213" spans="1:26" x14ac:dyDescent="0.2">
      <c r="A213" t="s">
        <v>279</v>
      </c>
      <c r="B213" s="252">
        <v>4.0000000000000001E-3</v>
      </c>
      <c r="C213" s="113" t="s">
        <v>15</v>
      </c>
      <c r="D213" s="6">
        <f>VLOOKUP(A213,'Costo Materia Prima'!$D$3:$I$234,6,FALSE)*B213</f>
        <v>1.1727090909090907</v>
      </c>
      <c r="E213" s="12">
        <f t="shared" si="85"/>
        <v>1.0526315789473684E-2</v>
      </c>
    </row>
    <row r="214" spans="1:26" x14ac:dyDescent="0.2">
      <c r="A214" t="s">
        <v>303</v>
      </c>
      <c r="B214" s="252">
        <v>4.0000000000000001E-3</v>
      </c>
      <c r="C214" s="113" t="s">
        <v>15</v>
      </c>
      <c r="D214" s="6">
        <f>VLOOKUP(A214,'Costo Materia Prima'!$D$3:$I$234,6,FALSE)*B214</f>
        <v>5.8833333333333335E-2</v>
      </c>
      <c r="E214" s="12">
        <f t="shared" si="85"/>
        <v>1.0526315789473684E-2</v>
      </c>
    </row>
    <row r="215" spans="1:26" x14ac:dyDescent="0.2">
      <c r="A215" t="s">
        <v>84</v>
      </c>
      <c r="B215" s="252">
        <v>0.05</v>
      </c>
      <c r="C215" s="113" t="s">
        <v>15</v>
      </c>
      <c r="D215" s="6">
        <f>VLOOKUP(A215,'Costo Materia Prima'!$D$3:$I$234,6,FALSE)*B215</f>
        <v>1.3390000000000002</v>
      </c>
      <c r="E215" s="12">
        <f t="shared" si="85"/>
        <v>0.13157894736842105</v>
      </c>
    </row>
    <row r="216" spans="1:26" x14ac:dyDescent="0.2">
      <c r="B216" s="310" t="s">
        <v>344</v>
      </c>
      <c r="C216" s="310"/>
      <c r="D216" s="32">
        <f>SUM(D209:D215)</f>
        <v>38.860470424242415</v>
      </c>
    </row>
    <row r="218" spans="1:26" x14ac:dyDescent="0.2">
      <c r="A218" s="310" t="s">
        <v>651</v>
      </c>
      <c r="B218" s="310"/>
      <c r="C218" s="310"/>
      <c r="D218" s="310"/>
    </row>
    <row r="219" spans="1:26" ht="16" thickBot="1" x14ac:dyDescent="0.25">
      <c r="A219" s="158" t="s">
        <v>341</v>
      </c>
      <c r="B219" s="158" t="s">
        <v>4</v>
      </c>
      <c r="C219" s="158" t="s">
        <v>5</v>
      </c>
      <c r="D219" s="158" t="s">
        <v>7</v>
      </c>
      <c r="F219" s="112" t="s">
        <v>364</v>
      </c>
      <c r="G219" s="117">
        <v>8.5</v>
      </c>
      <c r="H219" s="20"/>
      <c r="I219" s="318" t="s">
        <v>648</v>
      </c>
      <c r="J219" s="320"/>
      <c r="K219" s="318"/>
      <c r="L219" s="318"/>
      <c r="M219" s="318"/>
      <c r="N219" s="318"/>
      <c r="O219" s="318"/>
      <c r="P219" s="318"/>
      <c r="Q219" s="247"/>
      <c r="S219" s="318" t="s">
        <v>648</v>
      </c>
      <c r="T219" s="318"/>
      <c r="U219" s="318"/>
      <c r="V219" s="318"/>
      <c r="W219" s="318"/>
      <c r="X219" s="318"/>
      <c r="Y219" s="318"/>
      <c r="Z219" s="318"/>
    </row>
    <row r="220" spans="1:26" x14ac:dyDescent="0.2">
      <c r="A220" s="160" t="s">
        <v>132</v>
      </c>
      <c r="B220" s="113">
        <v>36</v>
      </c>
      <c r="C220" s="113" t="s">
        <v>21</v>
      </c>
      <c r="D220" s="6">
        <f>VLOOKUP(A220,'Costo Materia Prima'!$D$3:$I$234,6,FALSE)*B220</f>
        <v>65.003999999999991</v>
      </c>
      <c r="F220" s="112" t="s">
        <v>624</v>
      </c>
      <c r="G220" s="85">
        <f>D227/G219</f>
        <v>67.462365087946935</v>
      </c>
      <c r="I220" s="29" t="s">
        <v>369</v>
      </c>
      <c r="J220" s="70" t="s">
        <v>370</v>
      </c>
      <c r="K220" s="29" t="s">
        <v>371</v>
      </c>
      <c r="L220" s="29" t="s">
        <v>372</v>
      </c>
      <c r="M220" s="29" t="s">
        <v>373</v>
      </c>
      <c r="N220" s="29" t="s">
        <v>374</v>
      </c>
      <c r="O220" s="29" t="s">
        <v>375</v>
      </c>
      <c r="P220" s="29" t="s">
        <v>376</v>
      </c>
      <c r="Q220" s="160"/>
      <c r="S220" s="29" t="s">
        <v>377</v>
      </c>
      <c r="T220" s="70" t="s">
        <v>370</v>
      </c>
      <c r="U220" s="29" t="s">
        <v>371</v>
      </c>
      <c r="V220" s="29" t="s">
        <v>372</v>
      </c>
      <c r="W220" s="29" t="s">
        <v>373</v>
      </c>
      <c r="X220" s="29" t="s">
        <v>374</v>
      </c>
      <c r="Y220" s="29" t="s">
        <v>375</v>
      </c>
      <c r="Z220" s="29" t="s">
        <v>376</v>
      </c>
    </row>
    <row r="221" spans="1:26" x14ac:dyDescent="0.2">
      <c r="A221" s="160" t="s">
        <v>187</v>
      </c>
      <c r="B221" s="113">
        <v>1.5</v>
      </c>
      <c r="C221" s="113" t="s">
        <v>18</v>
      </c>
      <c r="D221" s="6">
        <f>VLOOKUP(A221,'Costo Materia Prima'!$D$3:$I$234,6,FALSE)*B221</f>
        <v>85.780499999999989</v>
      </c>
      <c r="I221" s="40" t="s">
        <v>378</v>
      </c>
      <c r="J221" s="33">
        <v>0</v>
      </c>
      <c r="K221" s="63">
        <v>0</v>
      </c>
      <c r="L221" s="63">
        <v>2</v>
      </c>
      <c r="M221" s="63">
        <v>0</v>
      </c>
      <c r="N221" s="64">
        <v>0</v>
      </c>
      <c r="O221" s="64">
        <v>0.3</v>
      </c>
      <c r="P221" s="65">
        <v>0</v>
      </c>
      <c r="Q221" s="45"/>
      <c r="S221" s="29"/>
      <c r="T221" s="53">
        <f>IFERROR($D$97/J222,0)</f>
        <v>0</v>
      </c>
      <c r="U221" s="53">
        <f>IFERROR($D$97/K222,0)</f>
        <v>0</v>
      </c>
      <c r="V221" s="53">
        <f>IFERROR($D$97/L222,0)</f>
        <v>226.10798507785464</v>
      </c>
      <c r="W221" s="53">
        <f>IFERROR($D$97/M222,0)</f>
        <v>0</v>
      </c>
      <c r="X221" s="53">
        <f t="shared" ref="X221" si="86">IFERROR($D$85/N222,0)</f>
        <v>0</v>
      </c>
      <c r="Y221" s="53">
        <f>IFERROR($D$227/O222,0)</f>
        <v>20.238709526384078</v>
      </c>
      <c r="Z221" s="53">
        <f t="shared" ref="Z221" si="87">IFERROR($D$85/P222,0)</f>
        <v>0</v>
      </c>
    </row>
    <row r="222" spans="1:26" x14ac:dyDescent="0.2">
      <c r="A222" s="160" t="s">
        <v>311</v>
      </c>
      <c r="B222" s="113">
        <v>1.2</v>
      </c>
      <c r="C222" s="113" t="s">
        <v>15</v>
      </c>
      <c r="D222" s="6">
        <f>VLOOKUP(A222,'Costo Materia Prima'!$D$3:$I$234,6,FALSE)*B222</f>
        <v>186</v>
      </c>
      <c r="I222" s="40" t="s">
        <v>379</v>
      </c>
      <c r="J222" s="66">
        <f t="shared" ref="J222:N222" si="88">IFERROR($G$219/J221,0)</f>
        <v>0</v>
      </c>
      <c r="K222" s="66">
        <f t="shared" si="88"/>
        <v>0</v>
      </c>
      <c r="L222" s="66">
        <f>IFERROR($G$219/L221,0)</f>
        <v>4.25</v>
      </c>
      <c r="M222" s="66">
        <f t="shared" si="88"/>
        <v>0</v>
      </c>
      <c r="N222" s="66">
        <f t="shared" si="88"/>
        <v>0</v>
      </c>
      <c r="O222" s="66">
        <f>IFERROR($G$219/O221,0)</f>
        <v>28.333333333333336</v>
      </c>
      <c r="P222" s="66">
        <f t="shared" ref="P222" si="89">IFERROR($G$88/P221,0)</f>
        <v>0</v>
      </c>
      <c r="Q222" s="248"/>
      <c r="S222" s="29" t="s">
        <v>380</v>
      </c>
      <c r="T222" s="70" t="s">
        <v>370</v>
      </c>
      <c r="U222" s="29" t="s">
        <v>371</v>
      </c>
      <c r="V222" s="29" t="s">
        <v>372</v>
      </c>
      <c r="W222" s="29" t="s">
        <v>373</v>
      </c>
      <c r="X222" s="29" t="s">
        <v>374</v>
      </c>
      <c r="Y222" s="29" t="s">
        <v>375</v>
      </c>
      <c r="Z222" s="29" t="s">
        <v>376</v>
      </c>
    </row>
    <row r="223" spans="1:26" x14ac:dyDescent="0.2">
      <c r="A223" s="160" t="s">
        <v>284</v>
      </c>
      <c r="B223" s="113">
        <v>1</v>
      </c>
      <c r="C223" s="113" t="s">
        <v>15</v>
      </c>
      <c r="D223" s="6">
        <f>VLOOKUP(A223,'Costo Materia Prima'!$D$3:$I$234,6,FALSE)*B223</f>
        <v>25.5</v>
      </c>
      <c r="G223" s="14"/>
      <c r="I223" s="40" t="s">
        <v>381</v>
      </c>
      <c r="J223" s="94">
        <f>J222/1</f>
        <v>0</v>
      </c>
      <c r="K223" s="94">
        <f>K222/1</f>
        <v>0</v>
      </c>
      <c r="L223" s="66">
        <f t="shared" ref="L223:P223" si="90">L222/1</f>
        <v>4.25</v>
      </c>
      <c r="M223" s="66">
        <f t="shared" si="90"/>
        <v>0</v>
      </c>
      <c r="N223" s="66">
        <f t="shared" si="90"/>
        <v>0</v>
      </c>
      <c r="O223" s="66">
        <f t="shared" si="90"/>
        <v>28.333333333333336</v>
      </c>
      <c r="P223" s="66">
        <f t="shared" si="90"/>
        <v>0</v>
      </c>
      <c r="Q223" s="248"/>
      <c r="S223" s="29"/>
      <c r="T223" s="53">
        <f>T221*1</f>
        <v>0</v>
      </c>
      <c r="U223" s="53">
        <f>U221*1</f>
        <v>0</v>
      </c>
      <c r="V223" s="53">
        <f t="shared" ref="V223:Z223" si="91">V221*1</f>
        <v>226.10798507785464</v>
      </c>
      <c r="W223" s="53">
        <f t="shared" si="91"/>
        <v>0</v>
      </c>
      <c r="X223" s="53">
        <f t="shared" si="91"/>
        <v>0</v>
      </c>
      <c r="Y223" s="53">
        <f t="shared" si="91"/>
        <v>20.238709526384078</v>
      </c>
      <c r="Z223" s="53">
        <f t="shared" si="91"/>
        <v>0</v>
      </c>
    </row>
    <row r="224" spans="1:26" x14ac:dyDescent="0.2">
      <c r="A224" s="160" t="s">
        <v>22</v>
      </c>
      <c r="B224" s="113">
        <v>1.41</v>
      </c>
      <c r="C224" s="113" t="s">
        <v>18</v>
      </c>
      <c r="D224" s="6">
        <f>VLOOKUP(A224,'Costo Materia Prima'!$D$3:$I$234,6,FALSE)*B224</f>
        <v>82.25</v>
      </c>
      <c r="F224" s="23"/>
    </row>
    <row r="225" spans="1:26" x14ac:dyDescent="0.2">
      <c r="A225" s="160" t="s">
        <v>185</v>
      </c>
      <c r="B225" s="113">
        <v>1.954</v>
      </c>
      <c r="C225" s="113" t="s">
        <v>15</v>
      </c>
      <c r="D225" s="6">
        <f>VLOOKUP(A225,'Costo Materia Prima'!$D$3:$I$234,6,FALSE)*B225</f>
        <v>121.93343137254901</v>
      </c>
    </row>
    <row r="226" spans="1:26" x14ac:dyDescent="0.2">
      <c r="A226" s="160" t="s">
        <v>183</v>
      </c>
      <c r="B226" s="113">
        <v>0.1</v>
      </c>
      <c r="C226" s="113" t="s">
        <v>18</v>
      </c>
      <c r="D226" s="6">
        <f>VLOOKUP(A226,'Costo Materia Prima'!$D$3:$I$234,6,FALSE)*B226</f>
        <v>6.9621718750000001</v>
      </c>
    </row>
    <row r="227" spans="1:26" x14ac:dyDescent="0.2">
      <c r="B227" s="310" t="s">
        <v>344</v>
      </c>
      <c r="C227" s="310"/>
      <c r="D227" s="32">
        <f>SUM(D220:D226)</f>
        <v>573.43010324754891</v>
      </c>
    </row>
    <row r="229" spans="1:26" x14ac:dyDescent="0.2">
      <c r="A229" s="310" t="s">
        <v>602</v>
      </c>
      <c r="B229" s="310"/>
      <c r="C229" s="310"/>
      <c r="D229" s="310"/>
    </row>
    <row r="230" spans="1:26" ht="16" thickBot="1" x14ac:dyDescent="0.25">
      <c r="A230" s="158" t="s">
        <v>341</v>
      </c>
      <c r="B230" s="158" t="s">
        <v>4</v>
      </c>
      <c r="C230" s="158" t="s">
        <v>5</v>
      </c>
      <c r="D230" s="158" t="s">
        <v>7</v>
      </c>
      <c r="F230" s="112" t="s">
        <v>364</v>
      </c>
      <c r="G230" s="117">
        <v>1</v>
      </c>
      <c r="I230" s="318" t="s">
        <v>602</v>
      </c>
      <c r="J230" s="320"/>
      <c r="K230" s="318"/>
      <c r="L230" s="318"/>
      <c r="M230" s="318"/>
      <c r="N230" s="318"/>
      <c r="O230" s="318"/>
      <c r="P230" s="318"/>
      <c r="Q230" s="247"/>
      <c r="S230" s="318" t="s">
        <v>602</v>
      </c>
      <c r="T230" s="318"/>
      <c r="U230" s="318"/>
      <c r="V230" s="318"/>
      <c r="W230" s="318"/>
      <c r="X230" s="318"/>
      <c r="Y230" s="318"/>
      <c r="Z230" s="318"/>
    </row>
    <row r="231" spans="1:26" x14ac:dyDescent="0.2">
      <c r="A231" s="105" t="s">
        <v>313</v>
      </c>
      <c r="B231">
        <v>0.113</v>
      </c>
      <c r="C231" t="s">
        <v>15</v>
      </c>
      <c r="D231" s="13">
        <f>VLOOKUP(A231,'Costo Materia Prima'!$D$3:$I$236,6,FALSE)*B231</f>
        <v>19.774909599999997</v>
      </c>
      <c r="F231" s="112" t="s">
        <v>362</v>
      </c>
      <c r="G231" s="85">
        <f>D238/G230</f>
        <v>25.257466666666669</v>
      </c>
      <c r="I231" s="29" t="s">
        <v>369</v>
      </c>
      <c r="J231" s="70" t="s">
        <v>370</v>
      </c>
      <c r="K231" s="29" t="s">
        <v>371</v>
      </c>
      <c r="L231" s="29" t="s">
        <v>372</v>
      </c>
      <c r="M231" s="29" t="s">
        <v>373</v>
      </c>
      <c r="N231" s="29" t="s">
        <v>374</v>
      </c>
      <c r="O231" s="29" t="s">
        <v>375</v>
      </c>
      <c r="P231" s="29" t="s">
        <v>376</v>
      </c>
      <c r="Q231" s="160"/>
      <c r="S231" s="29" t="s">
        <v>377</v>
      </c>
      <c r="T231" s="70" t="s">
        <v>370</v>
      </c>
      <c r="U231" s="29" t="s">
        <v>371</v>
      </c>
      <c r="V231" s="29" t="s">
        <v>372</v>
      </c>
      <c r="W231" s="29" t="s">
        <v>373</v>
      </c>
      <c r="X231" s="29" t="s">
        <v>374</v>
      </c>
      <c r="Y231" s="29" t="s">
        <v>375</v>
      </c>
      <c r="Z231" s="29" t="s">
        <v>376</v>
      </c>
    </row>
    <row r="232" spans="1:26" x14ac:dyDescent="0.2">
      <c r="A232" s="105" t="s">
        <v>13</v>
      </c>
      <c r="B232">
        <v>0.66</v>
      </c>
      <c r="C232" t="s">
        <v>15</v>
      </c>
      <c r="D232" s="13">
        <f>VLOOKUP(A232,'Costo Materia Prima'!$D$3:$I$236,6,FALSE)*B232</f>
        <v>13.464</v>
      </c>
      <c r="I232" s="40" t="s">
        <v>378</v>
      </c>
      <c r="J232" s="33">
        <v>0</v>
      </c>
      <c r="K232" s="63">
        <v>0</v>
      </c>
      <c r="L232" s="63">
        <v>0</v>
      </c>
      <c r="M232" s="63">
        <v>0</v>
      </c>
      <c r="N232" s="64">
        <v>0</v>
      </c>
      <c r="O232" s="64">
        <v>0.1</v>
      </c>
      <c r="P232" s="65">
        <v>0</v>
      </c>
      <c r="Q232" s="45"/>
      <c r="S232" s="29"/>
      <c r="T232" s="53">
        <f t="shared" ref="T232:Y232" si="92">IFERROR($D$246/J233,0)</f>
        <v>0</v>
      </c>
      <c r="U232" s="53">
        <f t="shared" si="92"/>
        <v>0</v>
      </c>
      <c r="V232" s="53">
        <f t="shared" si="92"/>
        <v>0</v>
      </c>
      <c r="W232" s="53">
        <f t="shared" si="92"/>
        <v>0</v>
      </c>
      <c r="X232" s="53">
        <f t="shared" si="92"/>
        <v>0</v>
      </c>
      <c r="Y232" s="53">
        <f t="shared" si="92"/>
        <v>8.985951100692203</v>
      </c>
      <c r="Z232" s="53">
        <f t="shared" ref="Z232" si="93">IFERROR($D$85/P233,0)</f>
        <v>0</v>
      </c>
    </row>
    <row r="233" spans="1:26" x14ac:dyDescent="0.2">
      <c r="A233" s="105" t="s">
        <v>124</v>
      </c>
      <c r="B233">
        <v>0.104</v>
      </c>
      <c r="C233" t="s">
        <v>15</v>
      </c>
      <c r="D233" s="13">
        <f>VLOOKUP(A233,'Costo Materia Prima'!$D$3:$I$236,6,FALSE)*B233</f>
        <v>5.3871999999999991</v>
      </c>
      <c r="I233" s="40" t="s">
        <v>379</v>
      </c>
      <c r="J233" s="97">
        <f>IFERROR($G$230/J232,0)</f>
        <v>0</v>
      </c>
      <c r="K233" s="97">
        <f t="shared" ref="K233:N233" si="94">IFERROR($G$230/K232,0)</f>
        <v>0</v>
      </c>
      <c r="L233" s="97">
        <f t="shared" si="94"/>
        <v>0</v>
      </c>
      <c r="M233" s="97">
        <f t="shared" si="94"/>
        <v>0</v>
      </c>
      <c r="N233" s="97">
        <f t="shared" si="94"/>
        <v>0</v>
      </c>
      <c r="O233" s="97">
        <f>IFERROR($G$230/O232,0)</f>
        <v>10</v>
      </c>
      <c r="P233" s="66">
        <f t="shared" ref="P233" si="95">IFERROR($G$88/P232,0)</f>
        <v>0</v>
      </c>
      <c r="Q233" s="248"/>
      <c r="S233" s="29" t="s">
        <v>380</v>
      </c>
      <c r="T233" s="70" t="s">
        <v>370</v>
      </c>
      <c r="U233" s="29" t="s">
        <v>371</v>
      </c>
      <c r="V233" s="29" t="s">
        <v>372</v>
      </c>
      <c r="W233" s="29" t="s">
        <v>373</v>
      </c>
      <c r="X233" s="29" t="s">
        <v>374</v>
      </c>
      <c r="Y233" s="29" t="s">
        <v>375</v>
      </c>
      <c r="Z233" s="29" t="s">
        <v>376</v>
      </c>
    </row>
    <row r="234" spans="1:26" x14ac:dyDescent="0.2">
      <c r="A234" s="105" t="s">
        <v>183</v>
      </c>
      <c r="B234">
        <v>1E-3</v>
      </c>
      <c r="C234" t="s">
        <v>18</v>
      </c>
      <c r="D234" s="13">
        <f>VLOOKUP(A234,'Costo Materia Prima'!$D$3:$I$236,6,FALSE)*B234</f>
        <v>6.9621718750000006E-2</v>
      </c>
      <c r="I234" s="40" t="s">
        <v>381</v>
      </c>
      <c r="J234" s="97">
        <f>J233/1</f>
        <v>0</v>
      </c>
      <c r="K234" s="94">
        <f>K233/1</f>
        <v>0</v>
      </c>
      <c r="L234" s="66">
        <f t="shared" ref="L234:P234" si="96">L233/1</f>
        <v>0</v>
      </c>
      <c r="M234" s="66">
        <f t="shared" si="96"/>
        <v>0</v>
      </c>
      <c r="N234" s="66">
        <f t="shared" si="96"/>
        <v>0</v>
      </c>
      <c r="O234" s="66">
        <f t="shared" si="96"/>
        <v>10</v>
      </c>
      <c r="P234" s="66">
        <f t="shared" si="96"/>
        <v>0</v>
      </c>
      <c r="Q234" s="248"/>
      <c r="S234" s="29"/>
      <c r="T234" s="53">
        <f>T232*1</f>
        <v>0</v>
      </c>
      <c r="U234" s="53">
        <f>U232*1</f>
        <v>0</v>
      </c>
      <c r="V234" s="53">
        <f t="shared" ref="V234:Z234" si="97">V232*1</f>
        <v>0</v>
      </c>
      <c r="W234" s="53">
        <f t="shared" si="97"/>
        <v>0</v>
      </c>
      <c r="X234" s="53">
        <f t="shared" si="97"/>
        <v>0</v>
      </c>
      <c r="Y234" s="53">
        <f t="shared" si="97"/>
        <v>8.985951100692203</v>
      </c>
      <c r="Z234" s="53">
        <f t="shared" si="97"/>
        <v>0</v>
      </c>
    </row>
    <row r="235" spans="1:26" x14ac:dyDescent="0.2">
      <c r="A235" s="105" t="s">
        <v>230</v>
      </c>
      <c r="B235">
        <v>0.186</v>
      </c>
      <c r="C235" t="s">
        <v>15</v>
      </c>
      <c r="D235" s="13">
        <f>VLOOKUP(A235,'Costo Materia Prima'!$D$3:$I$236,6,FALSE)*B235</f>
        <v>3.4409999999999998</v>
      </c>
    </row>
    <row r="236" spans="1:26" x14ac:dyDescent="0.2">
      <c r="A236" s="105" t="s">
        <v>303</v>
      </c>
      <c r="B236">
        <v>3.0000000000000001E-3</v>
      </c>
      <c r="C236" t="s">
        <v>15</v>
      </c>
      <c r="D236" s="13">
        <f>VLOOKUP(A236,'Costo Materia Prima'!$D$3:$I$236,6,FALSE)*B236</f>
        <v>4.4125000000000004E-2</v>
      </c>
    </row>
    <row r="237" spans="1:26" x14ac:dyDescent="0.2">
      <c r="A237" s="105" t="s">
        <v>65</v>
      </c>
      <c r="B237">
        <v>5.0000000000000001E-3</v>
      </c>
      <c r="C237" t="s">
        <v>15</v>
      </c>
      <c r="D237" s="13">
        <f>VLOOKUP(A237,'Costo Materia Prima'!$D$3:$I$236,6,FALSE)*B237</f>
        <v>0.192</v>
      </c>
    </row>
    <row r="238" spans="1:26" x14ac:dyDescent="0.2">
      <c r="A238" s="105" t="s">
        <v>323</v>
      </c>
      <c r="B238">
        <v>0.1</v>
      </c>
      <c r="C238" t="s">
        <v>15</v>
      </c>
      <c r="D238" s="13">
        <f>VLOOKUP(A238,'Costo Materia Prima'!$D$3:$I$236,6,FALSE)*B238</f>
        <v>25.257466666666669</v>
      </c>
    </row>
    <row r="239" spans="1:26" x14ac:dyDescent="0.2">
      <c r="A239" s="105" t="s">
        <v>132</v>
      </c>
      <c r="B239">
        <v>1</v>
      </c>
      <c r="C239" t="s">
        <v>21</v>
      </c>
      <c r="D239" s="13">
        <f>VLOOKUP(A239,'Costo Materia Prima'!$D$3:$I$236,6,FALSE)*B239</f>
        <v>1.8056666666666665</v>
      </c>
    </row>
    <row r="240" spans="1:26" x14ac:dyDescent="0.2">
      <c r="A240" s="105" t="s">
        <v>212</v>
      </c>
      <c r="B240">
        <v>1.1599999999999999E-2</v>
      </c>
      <c r="C240" t="s">
        <v>18</v>
      </c>
      <c r="D240" s="13">
        <f>VLOOKUP(A240,'Costo Materia Prima'!$D$3:$I$236,6,FALSE)*B240</f>
        <v>0.35147999999999996</v>
      </c>
    </row>
    <row r="241" spans="1:26" x14ac:dyDescent="0.2">
      <c r="A241" s="105" t="s">
        <v>317</v>
      </c>
      <c r="B241">
        <v>1.0999999999999999E-2</v>
      </c>
      <c r="C241" t="s">
        <v>15</v>
      </c>
      <c r="D241" s="13">
        <f>VLOOKUP(A241,'Costo Materia Prima'!$D$3:$I$236,6,FALSE)*B241</f>
        <v>2.673</v>
      </c>
    </row>
    <row r="242" spans="1:26" x14ac:dyDescent="0.2">
      <c r="A242" s="105" t="s">
        <v>187</v>
      </c>
      <c r="B242">
        <v>6.0000000000000001E-3</v>
      </c>
      <c r="C242" t="s">
        <v>18</v>
      </c>
      <c r="D242" s="13">
        <f>VLOOKUP(A242,'Costo Materia Prima'!$D$3:$I$236,6,FALSE)*B242</f>
        <v>0.34312199999999998</v>
      </c>
    </row>
    <row r="243" spans="1:26" x14ac:dyDescent="0.2">
      <c r="A243" s="105" t="s">
        <v>42</v>
      </c>
      <c r="B243">
        <v>8.0000000000000002E-3</v>
      </c>
      <c r="C243" t="s">
        <v>18</v>
      </c>
      <c r="D243" s="13">
        <f>VLOOKUP(A243,'Costo Materia Prima'!$D$3:$I$236,6,FALSE)*B243</f>
        <v>4.041419354838709</v>
      </c>
    </row>
    <row r="244" spans="1:26" x14ac:dyDescent="0.2">
      <c r="A244" s="105" t="s">
        <v>220</v>
      </c>
      <c r="B244">
        <v>0.26600000000000001</v>
      </c>
      <c r="C244" t="s">
        <v>15</v>
      </c>
      <c r="D244" s="13">
        <f>VLOOKUP(A244,'Costo Materia Prima'!$D$3:$I$236,6,FALSE)*B244</f>
        <v>7.5145</v>
      </c>
    </row>
    <row r="245" spans="1:26" x14ac:dyDescent="0.2">
      <c r="A245" s="105" t="s">
        <v>218</v>
      </c>
      <c r="B245">
        <v>0.05</v>
      </c>
      <c r="C245" t="s">
        <v>15</v>
      </c>
      <c r="D245" s="13">
        <f>VLOOKUP(A245,'Costo Materia Prima'!$D$3:$I$236,6,FALSE)*B245</f>
        <v>5.5</v>
      </c>
    </row>
    <row r="246" spans="1:26" x14ac:dyDescent="0.2">
      <c r="B246" s="310" t="s">
        <v>344</v>
      </c>
      <c r="C246" s="310"/>
      <c r="D246" s="13">
        <f>SUM(D231:D245)</f>
        <v>89.859511006922034</v>
      </c>
    </row>
    <row r="248" spans="1:26" x14ac:dyDescent="0.2">
      <c r="A248" s="310" t="s">
        <v>532</v>
      </c>
      <c r="B248" s="310"/>
      <c r="C248" s="310"/>
      <c r="D248" s="310"/>
    </row>
    <row r="249" spans="1:26" ht="16" thickBot="1" x14ac:dyDescent="0.25">
      <c r="A249" s="158" t="s">
        <v>341</v>
      </c>
      <c r="B249" s="158" t="s">
        <v>4</v>
      </c>
      <c r="C249" s="158" t="s">
        <v>5</v>
      </c>
      <c r="D249" s="158" t="s">
        <v>7</v>
      </c>
      <c r="F249" s="112" t="s">
        <v>364</v>
      </c>
      <c r="G249" s="117">
        <v>2.27</v>
      </c>
      <c r="I249" s="318" t="s">
        <v>532</v>
      </c>
      <c r="J249" s="320"/>
      <c r="K249" s="318"/>
      <c r="L249" s="318"/>
      <c r="M249" s="318"/>
      <c r="N249" s="318"/>
      <c r="O249" s="318"/>
      <c r="P249" s="318"/>
      <c r="Q249" s="247"/>
      <c r="S249" s="318" t="s">
        <v>532</v>
      </c>
      <c r="T249" s="318"/>
      <c r="U249" s="318"/>
      <c r="V249" s="318"/>
      <c r="W249" s="318"/>
      <c r="X249" s="318"/>
      <c r="Y249" s="318"/>
      <c r="Z249" s="318"/>
    </row>
    <row r="250" spans="1:26" x14ac:dyDescent="0.2">
      <c r="A250" s="160" t="s">
        <v>230</v>
      </c>
      <c r="B250" s="3">
        <v>1</v>
      </c>
      <c r="C250" s="3" t="s">
        <v>15</v>
      </c>
      <c r="D250" s="13">
        <f>VLOOKUP(A250,'Costo Materia Prima'!$D$3:$I$236,6,FALSE)*B250</f>
        <v>18.5</v>
      </c>
      <c r="F250" s="112" t="s">
        <v>362</v>
      </c>
      <c r="G250" s="85">
        <f>D256/G249</f>
        <v>85.043505614237077</v>
      </c>
      <c r="I250" s="29" t="s">
        <v>369</v>
      </c>
      <c r="J250" s="70" t="s">
        <v>370</v>
      </c>
      <c r="K250" s="29" t="s">
        <v>371</v>
      </c>
      <c r="L250" s="29" t="s">
        <v>372</v>
      </c>
      <c r="M250" s="29" t="s">
        <v>373</v>
      </c>
      <c r="N250" s="29" t="s">
        <v>374</v>
      </c>
      <c r="O250" s="29" t="s">
        <v>375</v>
      </c>
      <c r="P250" s="29" t="s">
        <v>376</v>
      </c>
      <c r="Q250" s="160"/>
      <c r="S250" s="29" t="s">
        <v>377</v>
      </c>
      <c r="T250" s="70" t="s">
        <v>370</v>
      </c>
      <c r="U250" s="29" t="s">
        <v>371</v>
      </c>
      <c r="V250" s="29" t="s">
        <v>372</v>
      </c>
      <c r="W250" s="29" t="s">
        <v>373</v>
      </c>
      <c r="X250" s="29" t="s">
        <v>374</v>
      </c>
      <c r="Y250" s="29" t="s">
        <v>375</v>
      </c>
      <c r="Z250" s="29" t="s">
        <v>376</v>
      </c>
    </row>
    <row r="251" spans="1:26" x14ac:dyDescent="0.2">
      <c r="A251" t="s">
        <v>13</v>
      </c>
      <c r="B251" s="3">
        <v>0.26700000000000002</v>
      </c>
      <c r="C251" s="3" t="s">
        <v>398</v>
      </c>
      <c r="D251" s="13">
        <f>VLOOKUP(A251,'Costo Materia Prima'!$D$3:$I$236,6,FALSE)*B251</f>
        <v>5.4467999999999996</v>
      </c>
      <c r="I251" s="40" t="s">
        <v>378</v>
      </c>
      <c r="J251" s="33">
        <v>0</v>
      </c>
      <c r="K251" s="63">
        <v>0</v>
      </c>
      <c r="L251" s="63">
        <v>0</v>
      </c>
      <c r="M251" s="63">
        <v>0</v>
      </c>
      <c r="N251" s="64">
        <v>0</v>
      </c>
      <c r="O251" s="64">
        <f>2.27/280</f>
        <v>8.1071428571428579E-3</v>
      </c>
      <c r="P251" s="65">
        <v>0</v>
      </c>
      <c r="Q251" s="45"/>
      <c r="S251" s="29"/>
      <c r="T251" s="53">
        <f t="shared" ref="T251" si="98">IFERROR($D$246/J252,0)</f>
        <v>0</v>
      </c>
      <c r="U251" s="53">
        <f t="shared" ref="U251" si="99">IFERROR($D$246/K252,0)</f>
        <v>0</v>
      </c>
      <c r="V251" s="53">
        <f t="shared" ref="V251" si="100">IFERROR($D$246/L252,0)</f>
        <v>0</v>
      </c>
      <c r="W251" s="53">
        <f t="shared" ref="W251" si="101">IFERROR($D$246/M252,0)</f>
        <v>0</v>
      </c>
      <c r="X251" s="53">
        <f t="shared" ref="X251" si="102">IFERROR($D$246/N252,0)</f>
        <v>0</v>
      </c>
      <c r="Y251" s="53">
        <f>IFERROR($D$246/O252,0)</f>
        <v>0.32092682502472153</v>
      </c>
      <c r="Z251" s="53">
        <f t="shared" ref="Z251" si="103">IFERROR($D$85/P252,0)</f>
        <v>0</v>
      </c>
    </row>
    <row r="252" spans="1:26" x14ac:dyDescent="0.2">
      <c r="A252" t="s">
        <v>313</v>
      </c>
      <c r="B252" s="3">
        <v>0.7</v>
      </c>
      <c r="C252" s="3" t="s">
        <v>15</v>
      </c>
      <c r="D252" s="13">
        <f>VLOOKUP(A252,'Costo Materia Prima'!$D$3:$I$236,6,FALSE)*B252</f>
        <v>122.49943999999998</v>
      </c>
      <c r="I252" s="40" t="s">
        <v>379</v>
      </c>
      <c r="J252" s="97">
        <f t="shared" ref="J252:N252" si="104">IFERROR($G$249/J251,0)</f>
        <v>0</v>
      </c>
      <c r="K252" s="97">
        <f t="shared" si="104"/>
        <v>0</v>
      </c>
      <c r="L252" s="97">
        <f t="shared" si="104"/>
        <v>0</v>
      </c>
      <c r="M252" s="97">
        <f t="shared" si="104"/>
        <v>0</v>
      </c>
      <c r="N252" s="97">
        <f t="shared" si="104"/>
        <v>0</v>
      </c>
      <c r="O252" s="97">
        <f>IFERROR($G$249/O251,0)</f>
        <v>280</v>
      </c>
      <c r="P252" s="66">
        <f t="shared" ref="P252" si="105">IFERROR($G$88/P251,0)</f>
        <v>0</v>
      </c>
      <c r="Q252" s="248"/>
      <c r="S252" s="29" t="s">
        <v>380</v>
      </c>
      <c r="T252" s="70" t="s">
        <v>370</v>
      </c>
      <c r="U252" s="29" t="s">
        <v>371</v>
      </c>
      <c r="V252" s="29" t="s">
        <v>372</v>
      </c>
      <c r="W252" s="29" t="s">
        <v>373</v>
      </c>
      <c r="X252" s="29" t="s">
        <v>374</v>
      </c>
      <c r="Y252" s="29" t="s">
        <v>375</v>
      </c>
      <c r="Z252" s="29" t="s">
        <v>376</v>
      </c>
    </row>
    <row r="253" spans="1:26" x14ac:dyDescent="0.2">
      <c r="A253" t="s">
        <v>183</v>
      </c>
      <c r="B253" s="3">
        <f>0.015*2</f>
        <v>0.03</v>
      </c>
      <c r="C253" s="3" t="s">
        <v>18</v>
      </c>
      <c r="D253" s="13">
        <f>VLOOKUP(A253,'Costo Materia Prima'!$D$3:$I$236,6,FALSE)*B253</f>
        <v>2.0886515624999999</v>
      </c>
      <c r="I253" s="40" t="s">
        <v>381</v>
      </c>
      <c r="J253" s="97">
        <f>J252/1</f>
        <v>0</v>
      </c>
      <c r="K253" s="94">
        <f>K252/1</f>
        <v>0</v>
      </c>
      <c r="L253" s="66">
        <f t="shared" ref="L253:P253" si="106">L252/1</f>
        <v>0</v>
      </c>
      <c r="M253" s="66">
        <f t="shared" si="106"/>
        <v>0</v>
      </c>
      <c r="N253" s="66">
        <f t="shared" si="106"/>
        <v>0</v>
      </c>
      <c r="O253" s="66">
        <f t="shared" si="106"/>
        <v>280</v>
      </c>
      <c r="P253" s="66">
        <f t="shared" si="106"/>
        <v>0</v>
      </c>
      <c r="Q253" s="248"/>
      <c r="S253" s="29"/>
      <c r="T253" s="53">
        <f>T251*1</f>
        <v>0</v>
      </c>
      <c r="U253" s="53">
        <f>U251*1</f>
        <v>0</v>
      </c>
      <c r="V253" s="53">
        <f t="shared" ref="V253:Z253" si="107">V251*1</f>
        <v>0</v>
      </c>
      <c r="W253" s="53">
        <f t="shared" si="107"/>
        <v>0</v>
      </c>
      <c r="X253" s="53">
        <f t="shared" si="107"/>
        <v>0</v>
      </c>
      <c r="Y253" s="53">
        <f t="shared" si="107"/>
        <v>0.32092682502472153</v>
      </c>
      <c r="Z253" s="53">
        <f t="shared" si="107"/>
        <v>0</v>
      </c>
    </row>
    <row r="254" spans="1:26" x14ac:dyDescent="0.2">
      <c r="A254" t="s">
        <v>81</v>
      </c>
      <c r="B254" s="27">
        <v>0.2</v>
      </c>
      <c r="C254" s="3" t="s">
        <v>15</v>
      </c>
      <c r="D254" s="13">
        <f>VLOOKUP(A254,'Costo Materia Prima'!$D$3:$I$236,6,FALSE)*B254</f>
        <v>39.800000000000004</v>
      </c>
    </row>
    <row r="255" spans="1:26" x14ac:dyDescent="0.2">
      <c r="A255" t="s">
        <v>95</v>
      </c>
      <c r="B255" s="3">
        <f>280*0.0005</f>
        <v>0.14000000000000001</v>
      </c>
      <c r="C255" s="3" t="s">
        <v>15</v>
      </c>
      <c r="D255" s="13">
        <f>VLOOKUP(A255,'Costo Materia Prima'!$D$3:$I$236,6,FALSE)*B255</f>
        <v>4.7138661818181822</v>
      </c>
    </row>
    <row r="256" spans="1:26" x14ac:dyDescent="0.2">
      <c r="B256" s="310" t="s">
        <v>344</v>
      </c>
      <c r="C256" s="310"/>
      <c r="D256" s="5">
        <f>SUM(D250:D255)</f>
        <v>193.04875774431818</v>
      </c>
    </row>
    <row r="258" spans="1:26" x14ac:dyDescent="0.2">
      <c r="A258" s="310" t="s">
        <v>545</v>
      </c>
      <c r="B258" s="310"/>
      <c r="C258" s="310"/>
      <c r="D258" s="310"/>
    </row>
    <row r="259" spans="1:26" ht="16" thickBot="1" x14ac:dyDescent="0.25">
      <c r="A259" s="158" t="s">
        <v>341</v>
      </c>
      <c r="B259" s="158" t="s">
        <v>4</v>
      </c>
      <c r="C259" s="158" t="s">
        <v>5</v>
      </c>
      <c r="D259" s="158" t="s">
        <v>7</v>
      </c>
      <c r="F259" s="112" t="s">
        <v>364</v>
      </c>
      <c r="G259" s="117">
        <v>0.96</v>
      </c>
      <c r="I259" s="318" t="s">
        <v>545</v>
      </c>
      <c r="J259" s="320"/>
      <c r="K259" s="318"/>
      <c r="L259" s="318"/>
      <c r="M259" s="318"/>
      <c r="N259" s="318"/>
      <c r="O259" s="318"/>
      <c r="P259" s="318"/>
      <c r="Q259" s="247"/>
      <c r="S259" s="318" t="s">
        <v>545</v>
      </c>
      <c r="T259" s="318"/>
      <c r="U259" s="318"/>
      <c r="V259" s="318"/>
      <c r="W259" s="318"/>
      <c r="X259" s="318"/>
      <c r="Y259" s="318"/>
      <c r="Z259" s="318"/>
    </row>
    <row r="260" spans="1:26" x14ac:dyDescent="0.2">
      <c r="A260" s="160" t="s">
        <v>230</v>
      </c>
      <c r="B260" s="3">
        <v>0.3</v>
      </c>
      <c r="C260" s="3" t="s">
        <v>15</v>
      </c>
      <c r="D260" s="13">
        <f>VLOOKUP(A260,'Costo Materia Prima'!$D$3:$I$236,6,FALSE)*B260</f>
        <v>5.55</v>
      </c>
      <c r="F260" s="112" t="s">
        <v>362</v>
      </c>
      <c r="G260" s="85">
        <f>D267/G259</f>
        <v>44.200566666666667</v>
      </c>
      <c r="I260" s="29" t="s">
        <v>369</v>
      </c>
      <c r="J260" s="70" t="s">
        <v>370</v>
      </c>
      <c r="K260" s="29" t="s">
        <v>371</v>
      </c>
      <c r="L260" s="29" t="s">
        <v>372</v>
      </c>
      <c r="M260" s="29" t="s">
        <v>373</v>
      </c>
      <c r="N260" s="29" t="s">
        <v>374</v>
      </c>
      <c r="O260" s="29" t="s">
        <v>375</v>
      </c>
      <c r="P260" s="29" t="s">
        <v>376</v>
      </c>
      <c r="Q260" s="160"/>
      <c r="S260" s="29" t="s">
        <v>377</v>
      </c>
      <c r="T260" s="70" t="s">
        <v>370</v>
      </c>
      <c r="U260" s="29" t="s">
        <v>371</v>
      </c>
      <c r="V260" s="29" t="s">
        <v>372</v>
      </c>
      <c r="W260" s="29" t="s">
        <v>373</v>
      </c>
      <c r="X260" s="29" t="s">
        <v>374</v>
      </c>
      <c r="Y260" s="29" t="s">
        <v>375</v>
      </c>
      <c r="Z260" s="29" t="s">
        <v>376</v>
      </c>
    </row>
    <row r="261" spans="1:26" x14ac:dyDescent="0.2">
      <c r="A261" t="s">
        <v>132</v>
      </c>
      <c r="B261" s="3">
        <v>2</v>
      </c>
      <c r="C261" s="3" t="s">
        <v>398</v>
      </c>
      <c r="D261" s="13">
        <f>VLOOKUP(A261,'Costo Materia Prima'!$D$3:$I$236,6,FALSE)*B261</f>
        <v>3.6113333333333331</v>
      </c>
      <c r="I261" s="40" t="s">
        <v>378</v>
      </c>
      <c r="J261" s="33">
        <v>0</v>
      </c>
      <c r="K261" s="63">
        <v>0</v>
      </c>
      <c r="L261" s="63">
        <v>0</v>
      </c>
      <c r="M261" s="63">
        <v>0</v>
      </c>
      <c r="N261" s="64">
        <v>0</v>
      </c>
      <c r="O261" s="64">
        <v>0.12</v>
      </c>
      <c r="P261" s="65">
        <v>0</v>
      </c>
      <c r="Q261" s="45"/>
      <c r="S261" s="29"/>
      <c r="T261" s="53">
        <f t="shared" ref="T261:Y261" si="108">IFERROR($D$269/J262,0)</f>
        <v>0</v>
      </c>
      <c r="U261" s="53">
        <f t="shared" si="108"/>
        <v>0</v>
      </c>
      <c r="V261" s="53">
        <f t="shared" si="108"/>
        <v>0</v>
      </c>
      <c r="W261" s="53">
        <f t="shared" si="108"/>
        <v>0</v>
      </c>
      <c r="X261" s="53">
        <f t="shared" si="108"/>
        <v>0</v>
      </c>
      <c r="Y261" s="53">
        <f t="shared" si="108"/>
        <v>10.349094379999999</v>
      </c>
      <c r="Z261" s="53">
        <f t="shared" ref="Z261" si="109">IFERROR($D$85/P262,0)</f>
        <v>0</v>
      </c>
    </row>
    <row r="262" spans="1:26" x14ac:dyDescent="0.2">
      <c r="A262" t="s">
        <v>313</v>
      </c>
      <c r="B262" s="3">
        <v>0.15</v>
      </c>
      <c r="C262" s="3" t="s">
        <v>15</v>
      </c>
      <c r="D262" s="13">
        <f>VLOOKUP(A262,'Costo Materia Prima'!$D$3:$I$236,6,FALSE)*B262</f>
        <v>26.249879999999994</v>
      </c>
      <c r="I262" s="40" t="s">
        <v>379</v>
      </c>
      <c r="J262" s="97">
        <f>IFERROR($G$230/J261,0)</f>
        <v>0</v>
      </c>
      <c r="K262" s="97">
        <f t="shared" ref="K262" si="110">IFERROR($G$230/K261,0)</f>
        <v>0</v>
      </c>
      <c r="L262" s="97">
        <f t="shared" ref="L262" si="111">IFERROR($G$230/L261,0)</f>
        <v>0</v>
      </c>
      <c r="M262" s="97">
        <f t="shared" ref="M262" si="112">IFERROR($G$230/M261,0)</f>
        <v>0</v>
      </c>
      <c r="N262" s="97">
        <f t="shared" ref="N262" si="113">IFERROR($G$230/N261,0)</f>
        <v>0</v>
      </c>
      <c r="O262" s="97">
        <f>IFERROR($G$230/O261,0)</f>
        <v>8.3333333333333339</v>
      </c>
      <c r="P262" s="66">
        <f t="shared" ref="P262" si="114">IFERROR($G$88/P261,0)</f>
        <v>0</v>
      </c>
      <c r="Q262" s="248"/>
      <c r="S262" s="29" t="s">
        <v>380</v>
      </c>
      <c r="T262" s="70" t="s">
        <v>370</v>
      </c>
      <c r="U262" s="29" t="s">
        <v>371</v>
      </c>
      <c r="V262" s="29" t="s">
        <v>372</v>
      </c>
      <c r="W262" s="29" t="s">
        <v>373</v>
      </c>
      <c r="X262" s="29" t="s">
        <v>374</v>
      </c>
      <c r="Y262" s="29" t="s">
        <v>375</v>
      </c>
      <c r="Z262" s="29" t="s">
        <v>376</v>
      </c>
    </row>
    <row r="263" spans="1:26" x14ac:dyDescent="0.2">
      <c r="A263" t="s">
        <v>222</v>
      </c>
      <c r="B263" s="3">
        <f>15/1000</f>
        <v>1.4999999999999999E-2</v>
      </c>
      <c r="C263" s="3" t="s">
        <v>15</v>
      </c>
      <c r="D263" s="13">
        <f>VLOOKUP(A263,'Costo Materia Prima'!$D$3:$I$236,6,FALSE)*B263</f>
        <v>0.3216</v>
      </c>
      <c r="I263" s="40" t="s">
        <v>381</v>
      </c>
      <c r="J263" s="97">
        <f>J262/1</f>
        <v>0</v>
      </c>
      <c r="K263" s="94">
        <f>K262/1</f>
        <v>0</v>
      </c>
      <c r="L263" s="66">
        <f t="shared" ref="L263:P263" si="115">L262/1</f>
        <v>0</v>
      </c>
      <c r="M263" s="66">
        <f t="shared" si="115"/>
        <v>0</v>
      </c>
      <c r="N263" s="66">
        <f t="shared" si="115"/>
        <v>0</v>
      </c>
      <c r="O263" s="66">
        <f t="shared" si="115"/>
        <v>8.3333333333333339</v>
      </c>
      <c r="P263" s="66">
        <f t="shared" si="115"/>
        <v>0</v>
      </c>
      <c r="Q263" s="248"/>
      <c r="S263" s="29"/>
      <c r="T263" s="53">
        <f>T261*1</f>
        <v>0</v>
      </c>
      <c r="U263" s="53">
        <f>U261*1</f>
        <v>0</v>
      </c>
      <c r="V263" s="53">
        <f t="shared" ref="V263:Z263" si="116">V261*1</f>
        <v>0</v>
      </c>
      <c r="W263" s="53">
        <f t="shared" si="116"/>
        <v>0</v>
      </c>
      <c r="X263" s="53">
        <f t="shared" si="116"/>
        <v>0</v>
      </c>
      <c r="Y263" s="53">
        <f t="shared" si="116"/>
        <v>10.349094379999999</v>
      </c>
      <c r="Z263" s="53">
        <f t="shared" si="116"/>
        <v>0</v>
      </c>
    </row>
    <row r="264" spans="1:26" x14ac:dyDescent="0.2">
      <c r="A264" t="s">
        <v>65</v>
      </c>
      <c r="B264">
        <v>3.0000000000000001E-3</v>
      </c>
      <c r="C264" s="3" t="s">
        <v>15</v>
      </c>
      <c r="D264" s="13">
        <f>VLOOKUP(A264,'Costo Materia Prima'!$D$3:$I$236,6,FALSE)*B264</f>
        <v>0.1152</v>
      </c>
    </row>
    <row r="265" spans="1:26" x14ac:dyDescent="0.2">
      <c r="A265" t="s">
        <v>303</v>
      </c>
      <c r="B265">
        <v>1E-3</v>
      </c>
      <c r="C265" s="3" t="s">
        <v>15</v>
      </c>
      <c r="D265" s="13">
        <f>VLOOKUP(A265,'Costo Materia Prima'!$D$3:$I$236,6,FALSE)*B265</f>
        <v>1.4708333333333334E-2</v>
      </c>
    </row>
    <row r="266" spans="1:26" x14ac:dyDescent="0.2">
      <c r="A266" t="s">
        <v>61</v>
      </c>
      <c r="B266">
        <f>5/1000</f>
        <v>5.0000000000000001E-3</v>
      </c>
      <c r="C266" s="3" t="s">
        <v>15</v>
      </c>
      <c r="D266" s="13">
        <f>VLOOKUP(A266,'Costo Materia Prima'!$D$3:$I$236,6,FALSE)*B266</f>
        <v>0.1771875</v>
      </c>
    </row>
    <row r="267" spans="1:26" x14ac:dyDescent="0.2">
      <c r="A267" t="s">
        <v>323</v>
      </c>
      <c r="B267">
        <f>0.15+0.018</f>
        <v>0.16799999999999998</v>
      </c>
      <c r="C267" s="3" t="s">
        <v>15</v>
      </c>
      <c r="D267" s="13">
        <f>VLOOKUP(A267,'Costo Materia Prima'!$D$3:$I$236,6,FALSE)*B267</f>
        <v>42.432544</v>
      </c>
    </row>
    <row r="268" spans="1:26" x14ac:dyDescent="0.2">
      <c r="A268" t="s">
        <v>124</v>
      </c>
      <c r="B268">
        <v>0.15</v>
      </c>
      <c r="C268" s="3" t="s">
        <v>15</v>
      </c>
      <c r="D268" s="13">
        <f>VLOOKUP(A268,'Costo Materia Prima'!$D$3:$I$236,6,FALSE)*B268</f>
        <v>7.77</v>
      </c>
    </row>
    <row r="269" spans="1:26" x14ac:dyDescent="0.2">
      <c r="B269" s="310" t="s">
        <v>344</v>
      </c>
      <c r="C269" s="310"/>
      <c r="D269" s="13">
        <f>SUM(D260:D268)</f>
        <v>86.242453166666664</v>
      </c>
    </row>
    <row r="271" spans="1:26" x14ac:dyDescent="0.2">
      <c r="A271" s="310" t="s">
        <v>654</v>
      </c>
      <c r="B271" s="310"/>
      <c r="C271" s="310"/>
      <c r="D271" s="310"/>
    </row>
    <row r="272" spans="1:26" ht="16" thickBot="1" x14ac:dyDescent="0.25">
      <c r="A272" s="158" t="s">
        <v>341</v>
      </c>
      <c r="B272" s="158" t="s">
        <v>4</v>
      </c>
      <c r="C272" s="158" t="s">
        <v>5</v>
      </c>
      <c r="D272" s="158" t="s">
        <v>7</v>
      </c>
      <c r="F272" s="112" t="s">
        <v>364</v>
      </c>
      <c r="G272" s="117">
        <v>0.96</v>
      </c>
      <c r="I272" s="318" t="s">
        <v>654</v>
      </c>
      <c r="J272" s="320"/>
      <c r="K272" s="318"/>
      <c r="L272" s="318"/>
      <c r="M272" s="318"/>
      <c r="N272" s="318"/>
      <c r="O272" s="318"/>
      <c r="P272" s="318"/>
      <c r="Q272" s="247"/>
      <c r="S272" s="318" t="s">
        <v>654</v>
      </c>
      <c r="T272" s="318"/>
      <c r="U272" s="318"/>
      <c r="V272" s="318"/>
      <c r="W272" s="318"/>
      <c r="X272" s="318"/>
      <c r="Y272" s="318"/>
      <c r="Z272" s="318"/>
    </row>
    <row r="273" spans="1:26" x14ac:dyDescent="0.2">
      <c r="A273" s="160" t="s">
        <v>230</v>
      </c>
      <c r="B273" s="3">
        <v>0.3</v>
      </c>
      <c r="C273" s="3" t="s">
        <v>15</v>
      </c>
      <c r="D273" s="13">
        <f>VLOOKUP(A273,'Costo Materia Prima'!$D$3:$I$236,6,FALSE)*B273</f>
        <v>5.55</v>
      </c>
      <c r="F273" s="112" t="s">
        <v>362</v>
      </c>
      <c r="G273" s="85">
        <f>D280/G272</f>
        <v>44.200566666666667</v>
      </c>
      <c r="I273" s="29" t="s">
        <v>369</v>
      </c>
      <c r="J273" s="70" t="s">
        <v>370</v>
      </c>
      <c r="K273" s="29" t="s">
        <v>371</v>
      </c>
      <c r="L273" s="29" t="s">
        <v>372</v>
      </c>
      <c r="M273" s="29" t="s">
        <v>373</v>
      </c>
      <c r="N273" s="29" t="s">
        <v>374</v>
      </c>
      <c r="O273" s="29" t="s">
        <v>375</v>
      </c>
      <c r="P273" s="29" t="s">
        <v>376</v>
      </c>
      <c r="Q273" s="160"/>
      <c r="S273" s="29" t="s">
        <v>377</v>
      </c>
      <c r="T273" s="70" t="s">
        <v>370</v>
      </c>
      <c r="U273" s="29" t="s">
        <v>371</v>
      </c>
      <c r="V273" s="29" t="s">
        <v>372</v>
      </c>
      <c r="W273" s="29" t="s">
        <v>373</v>
      </c>
      <c r="X273" s="29" t="s">
        <v>374</v>
      </c>
      <c r="Y273" s="29" t="s">
        <v>375</v>
      </c>
      <c r="Z273" s="29" t="s">
        <v>376</v>
      </c>
    </row>
    <row r="274" spans="1:26" x14ac:dyDescent="0.2">
      <c r="A274" t="s">
        <v>132</v>
      </c>
      <c r="B274" s="3">
        <v>2</v>
      </c>
      <c r="C274" s="3" t="s">
        <v>398</v>
      </c>
      <c r="D274" s="13">
        <f>VLOOKUP(A274,'Costo Materia Prima'!$D$3:$I$236,6,FALSE)*B274</f>
        <v>3.6113333333333331</v>
      </c>
      <c r="I274" s="40" t="s">
        <v>378</v>
      </c>
      <c r="J274" s="33">
        <v>0</v>
      </c>
      <c r="K274" s="63">
        <v>0</v>
      </c>
      <c r="L274" s="63">
        <v>0</v>
      </c>
      <c r="M274" s="63">
        <v>0</v>
      </c>
      <c r="N274" s="64">
        <v>0</v>
      </c>
      <c r="O274" s="64">
        <v>0.12</v>
      </c>
      <c r="P274" s="65">
        <v>0</v>
      </c>
      <c r="Q274" s="45"/>
      <c r="S274" s="29"/>
      <c r="T274" s="53">
        <f t="shared" ref="T274" si="117">IFERROR($D$269/J275,0)</f>
        <v>0</v>
      </c>
      <c r="U274" s="53">
        <f t="shared" ref="U274" si="118">IFERROR($D$269/K275,0)</f>
        <v>0</v>
      </c>
      <c r="V274" s="53">
        <f t="shared" ref="V274" si="119">IFERROR($D$269/L275,0)</f>
        <v>0</v>
      </c>
      <c r="W274" s="53">
        <f t="shared" ref="W274" si="120">IFERROR($D$269/M275,0)</f>
        <v>0</v>
      </c>
      <c r="X274" s="53">
        <f t="shared" ref="X274" si="121">IFERROR($D$269/N275,0)</f>
        <v>0</v>
      </c>
      <c r="Y274" s="53">
        <f>IFERROR($D$283/O275,0)</f>
        <v>13.060306645833332</v>
      </c>
      <c r="Z274" s="53">
        <f t="shared" ref="Z274" si="122">IFERROR($D$85/P275,0)</f>
        <v>0</v>
      </c>
    </row>
    <row r="275" spans="1:26" x14ac:dyDescent="0.2">
      <c r="A275" t="s">
        <v>313</v>
      </c>
      <c r="B275" s="3">
        <v>0.15</v>
      </c>
      <c r="C275" s="3" t="s">
        <v>15</v>
      </c>
      <c r="D275" s="13">
        <f>VLOOKUP(A275,'Costo Materia Prima'!$D$3:$I$236,6,FALSE)*B275</f>
        <v>26.249879999999994</v>
      </c>
      <c r="I275" s="40" t="s">
        <v>379</v>
      </c>
      <c r="J275" s="97">
        <f t="shared" ref="J275:N275" si="123">IFERROR($G$272/J274,0)</f>
        <v>0</v>
      </c>
      <c r="K275" s="97">
        <f t="shared" si="123"/>
        <v>0</v>
      </c>
      <c r="L275" s="97">
        <f t="shared" si="123"/>
        <v>0</v>
      </c>
      <c r="M275" s="97">
        <f t="shared" si="123"/>
        <v>0</v>
      </c>
      <c r="N275" s="97">
        <f t="shared" si="123"/>
        <v>0</v>
      </c>
      <c r="O275" s="97">
        <f>IFERROR($G$272/O274,0)</f>
        <v>8</v>
      </c>
      <c r="P275" s="66">
        <f t="shared" ref="P275" si="124">IFERROR($G$88/P274,0)</f>
        <v>0</v>
      </c>
      <c r="Q275" s="248"/>
      <c r="S275" s="29" t="s">
        <v>380</v>
      </c>
      <c r="T275" s="70" t="s">
        <v>370</v>
      </c>
      <c r="U275" s="29" t="s">
        <v>371</v>
      </c>
      <c r="V275" s="29" t="s">
        <v>372</v>
      </c>
      <c r="W275" s="29" t="s">
        <v>373</v>
      </c>
      <c r="X275" s="29" t="s">
        <v>374</v>
      </c>
      <c r="Y275" s="29" t="s">
        <v>375</v>
      </c>
      <c r="Z275" s="29" t="s">
        <v>376</v>
      </c>
    </row>
    <row r="276" spans="1:26" x14ac:dyDescent="0.2">
      <c r="A276" t="s">
        <v>222</v>
      </c>
      <c r="B276" s="3">
        <f>15/1000</f>
        <v>1.4999999999999999E-2</v>
      </c>
      <c r="C276" s="3" t="s">
        <v>15</v>
      </c>
      <c r="D276" s="13">
        <f>VLOOKUP(A276,'Costo Materia Prima'!$D$3:$I$236,6,FALSE)*B276</f>
        <v>0.3216</v>
      </c>
      <c r="I276" s="40" t="s">
        <v>381</v>
      </c>
      <c r="J276" s="97">
        <f>J275/1</f>
        <v>0</v>
      </c>
      <c r="K276" s="94">
        <f>K275/1</f>
        <v>0</v>
      </c>
      <c r="L276" s="66">
        <f t="shared" ref="L276:P276" si="125">L275/1</f>
        <v>0</v>
      </c>
      <c r="M276" s="66">
        <f t="shared" si="125"/>
        <v>0</v>
      </c>
      <c r="N276" s="66">
        <f t="shared" si="125"/>
        <v>0</v>
      </c>
      <c r="O276" s="66">
        <f t="shared" si="125"/>
        <v>8</v>
      </c>
      <c r="P276" s="66">
        <f t="shared" si="125"/>
        <v>0</v>
      </c>
      <c r="Q276" s="248"/>
      <c r="S276" s="29"/>
      <c r="T276" s="53">
        <f>T274*1</f>
        <v>0</v>
      </c>
      <c r="U276" s="53">
        <f>U274*1</f>
        <v>0</v>
      </c>
      <c r="V276" s="53">
        <f t="shared" ref="V276:Z276" si="126">V274*1</f>
        <v>0</v>
      </c>
      <c r="W276" s="53">
        <f t="shared" si="126"/>
        <v>0</v>
      </c>
      <c r="X276" s="53">
        <f t="shared" si="126"/>
        <v>0</v>
      </c>
      <c r="Y276" s="53">
        <f t="shared" si="126"/>
        <v>13.060306645833332</v>
      </c>
      <c r="Z276" s="53">
        <f t="shared" si="126"/>
        <v>0</v>
      </c>
    </row>
    <row r="277" spans="1:26" x14ac:dyDescent="0.2">
      <c r="A277" t="s">
        <v>65</v>
      </c>
      <c r="B277">
        <v>3.0000000000000001E-3</v>
      </c>
      <c r="C277" s="3" t="s">
        <v>15</v>
      </c>
      <c r="D277" s="13">
        <f>VLOOKUP(A277,'Costo Materia Prima'!$D$3:$I$236,6,FALSE)*B277</f>
        <v>0.1152</v>
      </c>
    </row>
    <row r="278" spans="1:26" x14ac:dyDescent="0.2">
      <c r="A278" t="s">
        <v>303</v>
      </c>
      <c r="B278">
        <v>1E-3</v>
      </c>
      <c r="C278" s="3" t="s">
        <v>15</v>
      </c>
      <c r="D278" s="13">
        <f>VLOOKUP(A278,'Costo Materia Prima'!$D$3:$I$236,6,FALSE)*B278</f>
        <v>1.4708333333333334E-2</v>
      </c>
    </row>
    <row r="279" spans="1:26" x14ac:dyDescent="0.2">
      <c r="A279" t="s">
        <v>61</v>
      </c>
      <c r="B279">
        <f>5/1000</f>
        <v>5.0000000000000001E-3</v>
      </c>
      <c r="C279" s="3" t="s">
        <v>15</v>
      </c>
      <c r="D279" s="13">
        <f>VLOOKUP(A279,'Costo Materia Prima'!$D$3:$I$236,6,FALSE)*B279</f>
        <v>0.1771875</v>
      </c>
    </row>
    <row r="280" spans="1:26" x14ac:dyDescent="0.2">
      <c r="A280" t="s">
        <v>323</v>
      </c>
      <c r="B280">
        <f>0.15+0.018</f>
        <v>0.16799999999999998</v>
      </c>
      <c r="C280" s="3" t="s">
        <v>15</v>
      </c>
      <c r="D280" s="13">
        <f>VLOOKUP(A280,'Costo Materia Prima'!$D$3:$I$236,6,FALSE)*B280</f>
        <v>42.432544</v>
      </c>
    </row>
    <row r="281" spans="1:26" x14ac:dyDescent="0.2">
      <c r="A281" t="s">
        <v>124</v>
      </c>
      <c r="B281">
        <v>0.15</v>
      </c>
      <c r="C281" s="3" t="s">
        <v>15</v>
      </c>
      <c r="D281" s="13">
        <f>VLOOKUP(A281,'Costo Materia Prima'!$D$3:$I$236,6,FALSE)*B281</f>
        <v>7.77</v>
      </c>
    </row>
    <row r="282" spans="1:26" x14ac:dyDescent="0.2">
      <c r="A282" t="s">
        <v>188</v>
      </c>
      <c r="B282">
        <f>(0.018*O275)+(0.002*O275)</f>
        <v>0.15999999999999998</v>
      </c>
      <c r="C282" s="3" t="s">
        <v>15</v>
      </c>
      <c r="D282" s="13">
        <f>VLOOKUP(A282,'Costo Materia Prima'!$D$3:$I$236,6,FALSE)*B282</f>
        <v>18.239999999999998</v>
      </c>
    </row>
    <row r="283" spans="1:26" x14ac:dyDescent="0.2">
      <c r="B283" s="310" t="s">
        <v>344</v>
      </c>
      <c r="C283" s="310"/>
      <c r="D283" s="13">
        <f>SUM(D273:D282)</f>
        <v>104.48245316666666</v>
      </c>
    </row>
    <row r="285" spans="1:26" x14ac:dyDescent="0.2">
      <c r="A285" s="310" t="s">
        <v>544</v>
      </c>
      <c r="B285" s="310"/>
      <c r="C285" s="310"/>
      <c r="D285" s="310"/>
    </row>
    <row r="286" spans="1:26" ht="16" thickBot="1" x14ac:dyDescent="0.25">
      <c r="A286" s="158" t="s">
        <v>341</v>
      </c>
      <c r="B286" s="158" t="s">
        <v>4</v>
      </c>
      <c r="C286" s="158" t="s">
        <v>5</v>
      </c>
      <c r="D286" s="158" t="s">
        <v>7</v>
      </c>
      <c r="F286" s="112" t="s">
        <v>364</v>
      </c>
      <c r="G286" s="117">
        <v>0.84</v>
      </c>
      <c r="I286" s="318" t="s">
        <v>544</v>
      </c>
      <c r="J286" s="320"/>
      <c r="K286" s="318"/>
      <c r="L286" s="318"/>
      <c r="M286" s="318"/>
      <c r="N286" s="318"/>
      <c r="O286" s="318"/>
      <c r="P286" s="318"/>
      <c r="Q286" s="247"/>
      <c r="S286" s="318" t="s">
        <v>544</v>
      </c>
      <c r="T286" s="318"/>
      <c r="U286" s="318"/>
      <c r="V286" s="318"/>
      <c r="W286" s="318"/>
      <c r="X286" s="318"/>
      <c r="Y286" s="318"/>
      <c r="Z286" s="318"/>
    </row>
    <row r="287" spans="1:26" x14ac:dyDescent="0.2">
      <c r="A287" s="160" t="s">
        <v>230</v>
      </c>
      <c r="B287" s="3">
        <v>0.3</v>
      </c>
      <c r="C287" s="3" t="s">
        <v>15</v>
      </c>
      <c r="D287" s="13">
        <f>VLOOKUP(A287,'Costo Materia Prima'!$D$3:$I$236,6,FALSE)*B287</f>
        <v>5.55</v>
      </c>
      <c r="F287" s="112" t="s">
        <v>362</v>
      </c>
      <c r="G287" s="85">
        <f>D294/G286</f>
        <v>50.514933333333339</v>
      </c>
      <c r="I287" s="29" t="s">
        <v>369</v>
      </c>
      <c r="J287" s="70" t="s">
        <v>370</v>
      </c>
      <c r="K287" s="29" t="s">
        <v>371</v>
      </c>
      <c r="L287" s="29" t="s">
        <v>372</v>
      </c>
      <c r="M287" s="29" t="s">
        <v>373</v>
      </c>
      <c r="N287" s="29" t="s">
        <v>374</v>
      </c>
      <c r="O287" s="29" t="s">
        <v>375</v>
      </c>
      <c r="P287" s="29" t="s">
        <v>376</v>
      </c>
      <c r="Q287" s="160"/>
      <c r="S287" s="29" t="s">
        <v>377</v>
      </c>
      <c r="T287" s="70" t="s">
        <v>370</v>
      </c>
      <c r="U287" s="29" t="s">
        <v>371</v>
      </c>
      <c r="V287" s="29" t="s">
        <v>372</v>
      </c>
      <c r="W287" s="29" t="s">
        <v>373</v>
      </c>
      <c r="X287" s="29" t="s">
        <v>374</v>
      </c>
      <c r="Y287" s="29" t="s">
        <v>375</v>
      </c>
      <c r="Z287" s="29" t="s">
        <v>376</v>
      </c>
    </row>
    <row r="288" spans="1:26" x14ac:dyDescent="0.2">
      <c r="A288" t="s">
        <v>132</v>
      </c>
      <c r="B288" s="3">
        <v>2</v>
      </c>
      <c r="C288" s="3" t="s">
        <v>398</v>
      </c>
      <c r="D288" s="13">
        <f>VLOOKUP(A288,'Costo Materia Prima'!$D$3:$I$236,6,FALSE)*B288</f>
        <v>3.6113333333333331</v>
      </c>
      <c r="I288" s="40" t="s">
        <v>378</v>
      </c>
      <c r="J288" s="33">
        <v>0</v>
      </c>
      <c r="K288" s="63">
        <v>0</v>
      </c>
      <c r="L288" s="63">
        <v>0</v>
      </c>
      <c r="M288" s="63">
        <v>0</v>
      </c>
      <c r="N288" s="64">
        <v>0</v>
      </c>
      <c r="O288" s="64">
        <v>0.12</v>
      </c>
      <c r="P288" s="65">
        <v>0</v>
      </c>
      <c r="Q288" s="45"/>
      <c r="S288" s="29"/>
      <c r="T288" s="53">
        <f t="shared" ref="T288:Y288" si="127">IFERROR($D$299/J289,0)</f>
        <v>0</v>
      </c>
      <c r="U288" s="53">
        <f t="shared" si="127"/>
        <v>0</v>
      </c>
      <c r="V288" s="53">
        <f t="shared" si="127"/>
        <v>0</v>
      </c>
      <c r="W288" s="53">
        <f t="shared" si="127"/>
        <v>0</v>
      </c>
      <c r="X288" s="53">
        <f t="shared" si="127"/>
        <v>0</v>
      </c>
      <c r="Y288" s="53">
        <f t="shared" si="127"/>
        <v>15.964556166666666</v>
      </c>
      <c r="Z288" s="53">
        <f t="shared" ref="Z288" si="128">IFERROR($D$85/P289,0)</f>
        <v>0</v>
      </c>
    </row>
    <row r="289" spans="1:26" x14ac:dyDescent="0.2">
      <c r="A289" t="s">
        <v>313</v>
      </c>
      <c r="B289" s="3">
        <v>0.15</v>
      </c>
      <c r="C289" s="3" t="s">
        <v>15</v>
      </c>
      <c r="D289" s="13">
        <f>VLOOKUP(A289,'Costo Materia Prima'!$D$3:$I$236,6,FALSE)*B289</f>
        <v>26.249879999999994</v>
      </c>
      <c r="I289" s="40" t="s">
        <v>379</v>
      </c>
      <c r="J289" s="97">
        <f t="shared" ref="J289:N289" si="129">IFERROR($G$286/J288,0)</f>
        <v>0</v>
      </c>
      <c r="K289" s="97">
        <f t="shared" si="129"/>
        <v>0</v>
      </c>
      <c r="L289" s="97">
        <f t="shared" si="129"/>
        <v>0</v>
      </c>
      <c r="M289" s="97">
        <f t="shared" si="129"/>
        <v>0</v>
      </c>
      <c r="N289" s="97">
        <f t="shared" si="129"/>
        <v>0</v>
      </c>
      <c r="O289" s="97">
        <f>IFERROR($G$286/O288,0)</f>
        <v>7</v>
      </c>
      <c r="P289" s="66">
        <f t="shared" ref="P289" si="130">IFERROR($G$88/P288,0)</f>
        <v>0</v>
      </c>
      <c r="Q289" s="248"/>
      <c r="S289" s="29" t="s">
        <v>380</v>
      </c>
      <c r="T289" s="70" t="s">
        <v>370</v>
      </c>
      <c r="U289" s="29" t="s">
        <v>371</v>
      </c>
      <c r="V289" s="29" t="s">
        <v>372</v>
      </c>
      <c r="W289" s="29" t="s">
        <v>373</v>
      </c>
      <c r="X289" s="29" t="s">
        <v>374</v>
      </c>
      <c r="Y289" s="29" t="s">
        <v>375</v>
      </c>
      <c r="Z289" s="29" t="s">
        <v>376</v>
      </c>
    </row>
    <row r="290" spans="1:26" x14ac:dyDescent="0.2">
      <c r="A290" t="s">
        <v>222</v>
      </c>
      <c r="B290" s="3">
        <f>15/1000</f>
        <v>1.4999999999999999E-2</v>
      </c>
      <c r="C290" s="3" t="s">
        <v>15</v>
      </c>
      <c r="D290" s="13">
        <f>VLOOKUP(A290,'Costo Materia Prima'!$D$3:$I$236,6,FALSE)*B290</f>
        <v>0.3216</v>
      </c>
      <c r="I290" s="40" t="s">
        <v>381</v>
      </c>
      <c r="J290" s="97">
        <f>J289/1</f>
        <v>0</v>
      </c>
      <c r="K290" s="94">
        <f>K289/1</f>
        <v>0</v>
      </c>
      <c r="L290" s="66">
        <f t="shared" ref="L290:P290" si="131">L289/1</f>
        <v>0</v>
      </c>
      <c r="M290" s="66">
        <f t="shared" si="131"/>
        <v>0</v>
      </c>
      <c r="N290" s="66">
        <f t="shared" si="131"/>
        <v>0</v>
      </c>
      <c r="O290" s="66">
        <f t="shared" si="131"/>
        <v>7</v>
      </c>
      <c r="P290" s="66">
        <f t="shared" si="131"/>
        <v>0</v>
      </c>
      <c r="Q290" s="248"/>
      <c r="S290" s="29"/>
      <c r="T290" s="53">
        <f>T288*1</f>
        <v>0</v>
      </c>
      <c r="U290" s="53">
        <f>U288*1</f>
        <v>0</v>
      </c>
      <c r="V290" s="53">
        <f t="shared" ref="V290:Z290" si="132">V288*1</f>
        <v>0</v>
      </c>
      <c r="W290" s="53">
        <f t="shared" si="132"/>
        <v>0</v>
      </c>
      <c r="X290" s="53">
        <f t="shared" si="132"/>
        <v>0</v>
      </c>
      <c r="Y290" s="53">
        <f t="shared" si="132"/>
        <v>15.964556166666666</v>
      </c>
      <c r="Z290" s="53">
        <f t="shared" si="132"/>
        <v>0</v>
      </c>
    </row>
    <row r="291" spans="1:26" x14ac:dyDescent="0.2">
      <c r="A291" t="s">
        <v>65</v>
      </c>
      <c r="B291">
        <v>3.0000000000000001E-3</v>
      </c>
      <c r="C291" s="3" t="s">
        <v>15</v>
      </c>
      <c r="D291" s="13">
        <f>VLOOKUP(A291,'Costo Materia Prima'!$D$3:$I$236,6,FALSE)*B291</f>
        <v>0.1152</v>
      </c>
    </row>
    <row r="292" spans="1:26" x14ac:dyDescent="0.2">
      <c r="A292" t="s">
        <v>303</v>
      </c>
      <c r="B292">
        <v>1E-3</v>
      </c>
      <c r="C292" s="3" t="s">
        <v>15</v>
      </c>
      <c r="D292" s="13">
        <f>VLOOKUP(A292,'Costo Materia Prima'!$D$3:$I$236,6,FALSE)*B292</f>
        <v>1.4708333333333334E-2</v>
      </c>
    </row>
    <row r="293" spans="1:26" x14ac:dyDescent="0.2">
      <c r="A293" t="s">
        <v>61</v>
      </c>
      <c r="B293">
        <f>5/1000</f>
        <v>5.0000000000000001E-3</v>
      </c>
      <c r="C293" s="3" t="s">
        <v>15</v>
      </c>
      <c r="D293" s="13">
        <f>VLOOKUP(A293,'Costo Materia Prima'!$D$3:$I$236,6,FALSE)*B293</f>
        <v>0.1771875</v>
      </c>
    </row>
    <row r="294" spans="1:26" x14ac:dyDescent="0.2">
      <c r="A294" t="s">
        <v>323</v>
      </c>
      <c r="B294">
        <f>0.15+0.018</f>
        <v>0.16799999999999998</v>
      </c>
      <c r="C294" s="3" t="s">
        <v>15</v>
      </c>
      <c r="D294" s="13">
        <f>VLOOKUP(A294,'Costo Materia Prima'!$D$3:$I$236,6,FALSE)*B294</f>
        <v>42.432544</v>
      </c>
    </row>
    <row r="295" spans="1:26" x14ac:dyDescent="0.2">
      <c r="A295" t="s">
        <v>124</v>
      </c>
      <c r="B295">
        <v>0.15</v>
      </c>
      <c r="C295" s="3" t="s">
        <v>15</v>
      </c>
      <c r="D295" s="13">
        <f>VLOOKUP(A295,'Costo Materia Prima'!$D$3:$I$236,6,FALSE)*B295</f>
        <v>7.77</v>
      </c>
    </row>
    <row r="296" spans="1:26" x14ac:dyDescent="0.2">
      <c r="A296" t="s">
        <v>319</v>
      </c>
      <c r="B296">
        <v>0.11</v>
      </c>
      <c r="C296" s="3" t="s">
        <v>15</v>
      </c>
      <c r="D296" s="13">
        <f>VLOOKUP(A296,'Costo Materia Prima'!$D$3:$I$236,6,FALSE)*B296</f>
        <v>12.949199999999999</v>
      </c>
    </row>
    <row r="297" spans="1:26" x14ac:dyDescent="0.2">
      <c r="A297" t="s">
        <v>321</v>
      </c>
      <c r="B297">
        <f>O289*0.011</f>
        <v>7.6999999999999999E-2</v>
      </c>
      <c r="C297" s="3" t="s">
        <v>15</v>
      </c>
      <c r="D297" s="13">
        <f>VLOOKUP(A297,'Costo Materia Prima'!$D$3:$I$236,6,FALSE)*B297</f>
        <v>9.4802400000000002</v>
      </c>
    </row>
    <row r="298" spans="1:26" x14ac:dyDescent="0.2">
      <c r="A298" t="s">
        <v>218</v>
      </c>
      <c r="B298">
        <f>0.004*O289</f>
        <v>2.8000000000000001E-2</v>
      </c>
      <c r="C298" s="3" t="s">
        <v>15</v>
      </c>
      <c r="D298" s="13">
        <f>VLOOKUP(A298,'Costo Materia Prima'!$D$3:$I$236,6,FALSE)*B298</f>
        <v>3.08</v>
      </c>
    </row>
    <row r="299" spans="1:26" x14ac:dyDescent="0.2">
      <c r="B299" s="310" t="s">
        <v>344</v>
      </c>
      <c r="C299" s="310"/>
      <c r="D299" s="13">
        <f>SUM(D287:D298)</f>
        <v>111.75189316666666</v>
      </c>
    </row>
    <row r="301" spans="1:26" x14ac:dyDescent="0.2">
      <c r="A301" s="310" t="s">
        <v>88</v>
      </c>
      <c r="B301" s="310"/>
      <c r="C301" s="310"/>
      <c r="D301" s="310"/>
    </row>
    <row r="302" spans="1:26" ht="16" thickBot="1" x14ac:dyDescent="0.25">
      <c r="A302" s="158" t="s">
        <v>341</v>
      </c>
      <c r="B302" s="158" t="s">
        <v>4</v>
      </c>
      <c r="C302" s="158" t="s">
        <v>5</v>
      </c>
      <c r="D302" s="158" t="s">
        <v>7</v>
      </c>
      <c r="F302" s="112" t="s">
        <v>364</v>
      </c>
      <c r="G302" s="210">
        <v>0.98599999999999999</v>
      </c>
      <c r="I302" s="318" t="s">
        <v>88</v>
      </c>
      <c r="J302" s="320"/>
      <c r="K302" s="318"/>
      <c r="L302" s="318"/>
      <c r="M302" s="318"/>
      <c r="N302" s="318"/>
      <c r="O302" s="318"/>
      <c r="P302" s="318"/>
      <c r="Q302" s="247"/>
      <c r="S302" s="318" t="s">
        <v>88</v>
      </c>
      <c r="T302" s="318"/>
      <c r="U302" s="318"/>
      <c r="V302" s="318"/>
      <c r="W302" s="318"/>
      <c r="X302" s="318"/>
      <c r="Y302" s="318"/>
      <c r="Z302" s="318"/>
    </row>
    <row r="303" spans="1:26" x14ac:dyDescent="0.2">
      <c r="A303" s="160" t="s">
        <v>230</v>
      </c>
      <c r="B303" s="208">
        <v>0.3</v>
      </c>
      <c r="C303" s="3" t="s">
        <v>15</v>
      </c>
      <c r="D303" s="13">
        <f>VLOOKUP(A303,'Costo Materia Prima'!$D$3:$I$236,6,FALSE)*B303</f>
        <v>5.55</v>
      </c>
      <c r="F303" s="112" t="s">
        <v>362</v>
      </c>
      <c r="G303" s="85">
        <f>D310/G302</f>
        <v>7.8803245436105476</v>
      </c>
      <c r="I303" s="29" t="s">
        <v>369</v>
      </c>
      <c r="J303" s="70" t="s">
        <v>370</v>
      </c>
      <c r="K303" s="29" t="s">
        <v>371</v>
      </c>
      <c r="L303" s="29" t="s">
        <v>372</v>
      </c>
      <c r="M303" s="29" t="s">
        <v>373</v>
      </c>
      <c r="N303" s="29" t="s">
        <v>374</v>
      </c>
      <c r="O303" s="29" t="s">
        <v>375</v>
      </c>
      <c r="P303" s="29" t="s">
        <v>376</v>
      </c>
      <c r="Q303" s="160"/>
      <c r="S303" s="29" t="s">
        <v>377</v>
      </c>
      <c r="T303" s="70" t="s">
        <v>370</v>
      </c>
      <c r="U303" s="29" t="s">
        <v>371</v>
      </c>
      <c r="V303" s="29" t="s">
        <v>372</v>
      </c>
      <c r="W303" s="29" t="s">
        <v>373</v>
      </c>
      <c r="X303" s="29" t="s">
        <v>374</v>
      </c>
      <c r="Y303" s="29" t="s">
        <v>375</v>
      </c>
      <c r="Z303" s="29" t="s">
        <v>376</v>
      </c>
    </row>
    <row r="304" spans="1:26" x14ac:dyDescent="0.2">
      <c r="A304" t="s">
        <v>132</v>
      </c>
      <c r="B304" s="208">
        <v>2</v>
      </c>
      <c r="C304" s="3" t="s">
        <v>398</v>
      </c>
      <c r="D304" s="13">
        <f>VLOOKUP(A304,'Costo Materia Prima'!$D$3:$I$236,6,FALSE)*B304</f>
        <v>3.6113333333333331</v>
      </c>
      <c r="I304" s="40" t="s">
        <v>378</v>
      </c>
      <c r="J304" s="33">
        <v>0</v>
      </c>
      <c r="K304" s="63">
        <v>0</v>
      </c>
      <c r="L304" s="63">
        <v>0</v>
      </c>
      <c r="M304" s="63">
        <v>0</v>
      </c>
      <c r="N304" s="64">
        <v>0</v>
      </c>
      <c r="O304" s="64">
        <v>0.09</v>
      </c>
      <c r="P304" s="65">
        <v>0</v>
      </c>
      <c r="Q304" s="45"/>
      <c r="S304" s="29"/>
      <c r="T304" s="53">
        <f t="shared" ref="T304:Y304" si="133">IFERROR($D$315/J305,0)</f>
        <v>0</v>
      </c>
      <c r="U304" s="53">
        <f t="shared" si="133"/>
        <v>0</v>
      </c>
      <c r="V304" s="53">
        <f t="shared" si="133"/>
        <v>0</v>
      </c>
      <c r="W304" s="53">
        <f t="shared" si="133"/>
        <v>0</v>
      </c>
      <c r="X304" s="53">
        <f t="shared" si="133"/>
        <v>0</v>
      </c>
      <c r="Y304" s="53">
        <f t="shared" si="133"/>
        <v>13.942992693711968</v>
      </c>
      <c r="Z304" s="53">
        <f t="shared" ref="Z304" si="134">IFERROR($D$85/P305,0)</f>
        <v>0</v>
      </c>
    </row>
    <row r="305" spans="1:26" x14ac:dyDescent="0.2">
      <c r="A305" t="s">
        <v>313</v>
      </c>
      <c r="B305" s="208">
        <v>0.15</v>
      </c>
      <c r="C305" s="3" t="s">
        <v>15</v>
      </c>
      <c r="D305" s="13">
        <f>VLOOKUP(A305,'Costo Materia Prima'!$D$3:$I$236,6,FALSE)*B305</f>
        <v>26.249879999999994</v>
      </c>
      <c r="I305" s="40" t="s">
        <v>379</v>
      </c>
      <c r="J305" s="97">
        <f t="shared" ref="J305:N305" si="135">IFERROR($G$302/J304,0)</f>
        <v>0</v>
      </c>
      <c r="K305" s="97">
        <f t="shared" si="135"/>
        <v>0</v>
      </c>
      <c r="L305" s="97">
        <f t="shared" si="135"/>
        <v>0</v>
      </c>
      <c r="M305" s="97">
        <f t="shared" si="135"/>
        <v>0</v>
      </c>
      <c r="N305" s="97">
        <f t="shared" si="135"/>
        <v>0</v>
      </c>
      <c r="O305" s="97">
        <f>IFERROR($G$302/O304,0)</f>
        <v>10.955555555555556</v>
      </c>
      <c r="P305" s="66">
        <f t="shared" ref="P305" si="136">IFERROR($G$88/P304,0)</f>
        <v>0</v>
      </c>
      <c r="Q305" s="248"/>
      <c r="S305" s="29" t="s">
        <v>380</v>
      </c>
      <c r="T305" s="70" t="s">
        <v>370</v>
      </c>
      <c r="U305" s="29" t="s">
        <v>371</v>
      </c>
      <c r="V305" s="29" t="s">
        <v>372</v>
      </c>
      <c r="W305" s="29" t="s">
        <v>373</v>
      </c>
      <c r="X305" s="29" t="s">
        <v>374</v>
      </c>
      <c r="Y305" s="29" t="s">
        <v>375</v>
      </c>
      <c r="Z305" s="29" t="s">
        <v>376</v>
      </c>
    </row>
    <row r="306" spans="1:26" x14ac:dyDescent="0.2">
      <c r="A306" t="s">
        <v>222</v>
      </c>
      <c r="B306" s="208">
        <f>15/1000</f>
        <v>1.4999999999999999E-2</v>
      </c>
      <c r="C306" s="3" t="s">
        <v>15</v>
      </c>
      <c r="D306" s="13">
        <f>VLOOKUP(A306,'Costo Materia Prima'!$D$3:$I$236,6,FALSE)*B306</f>
        <v>0.3216</v>
      </c>
      <c r="I306" s="40" t="s">
        <v>381</v>
      </c>
      <c r="J306" s="97">
        <f>J305/1</f>
        <v>0</v>
      </c>
      <c r="K306" s="94">
        <f>K305/1</f>
        <v>0</v>
      </c>
      <c r="L306" s="66">
        <f t="shared" ref="L306:P306" si="137">L305/1</f>
        <v>0</v>
      </c>
      <c r="M306" s="66">
        <f t="shared" si="137"/>
        <v>0</v>
      </c>
      <c r="N306" s="66">
        <f t="shared" si="137"/>
        <v>0</v>
      </c>
      <c r="O306" s="66">
        <f t="shared" si="137"/>
        <v>10.955555555555556</v>
      </c>
      <c r="P306" s="66">
        <f t="shared" si="137"/>
        <v>0</v>
      </c>
      <c r="Q306" s="248"/>
      <c r="S306" s="29"/>
      <c r="T306" s="53">
        <f>T304*1</f>
        <v>0</v>
      </c>
      <c r="U306" s="53">
        <f>U304*1</f>
        <v>0</v>
      </c>
      <c r="V306" s="53">
        <f t="shared" ref="V306:Z306" si="138">V304*1</f>
        <v>0</v>
      </c>
      <c r="W306" s="53">
        <f t="shared" si="138"/>
        <v>0</v>
      </c>
      <c r="X306" s="53">
        <f t="shared" si="138"/>
        <v>0</v>
      </c>
      <c r="Y306" s="53">
        <f t="shared" si="138"/>
        <v>13.942992693711968</v>
      </c>
      <c r="Z306" s="53">
        <f t="shared" si="138"/>
        <v>0</v>
      </c>
    </row>
    <row r="307" spans="1:26" x14ac:dyDescent="0.2">
      <c r="A307" t="s">
        <v>65</v>
      </c>
      <c r="B307" s="208">
        <f>2.5/1000</f>
        <v>2.5000000000000001E-3</v>
      </c>
      <c r="C307" s="3" t="s">
        <v>15</v>
      </c>
      <c r="D307" s="13">
        <f>VLOOKUP(A307,'Costo Materia Prima'!$D$3:$I$236,6,FALSE)*B307</f>
        <v>9.6000000000000002E-2</v>
      </c>
    </row>
    <row r="308" spans="1:26" x14ac:dyDescent="0.2">
      <c r="A308" t="s">
        <v>303</v>
      </c>
      <c r="B308" s="208">
        <f>2.5/1000</f>
        <v>2.5000000000000001E-3</v>
      </c>
      <c r="C308" s="3" t="s">
        <v>15</v>
      </c>
      <c r="D308" s="13">
        <f>VLOOKUP(A308,'Costo Materia Prima'!$D$3:$I$236,6,FALSE)*B308</f>
        <v>3.6770833333333336E-2</v>
      </c>
    </row>
    <row r="309" spans="1:26" x14ac:dyDescent="0.2">
      <c r="A309" t="s">
        <v>61</v>
      </c>
      <c r="B309" s="208">
        <f>5/1000</f>
        <v>5.0000000000000001E-3</v>
      </c>
      <c r="C309" s="3" t="s">
        <v>15</v>
      </c>
      <c r="D309" s="13">
        <f>VLOOKUP(A309,'Costo Materia Prima'!$D$3:$I$236,6,FALSE)*B309</f>
        <v>0.1771875</v>
      </c>
    </row>
    <row r="310" spans="1:26" x14ac:dyDescent="0.2">
      <c r="A310" t="s">
        <v>124</v>
      </c>
      <c r="B310" s="208">
        <v>0.15</v>
      </c>
      <c r="C310" s="3" t="s">
        <v>15</v>
      </c>
      <c r="D310" s="13">
        <f>VLOOKUP(A310,'Costo Materia Prima'!$D$3:$I$236,6,FALSE)*B310</f>
        <v>7.77</v>
      </c>
    </row>
    <row r="311" spans="1:26" x14ac:dyDescent="0.2">
      <c r="A311" t="s">
        <v>87</v>
      </c>
      <c r="B311" s="209">
        <v>0.14399999999999999</v>
      </c>
      <c r="C311" s="3" t="s">
        <v>15</v>
      </c>
      <c r="D311" s="13">
        <f>VLOOKUP(A311,'Costo Materia Prima'!$D$3:$I$236,6,FALSE)*B311</f>
        <v>46.775039999999997</v>
      </c>
      <c r="E311" t="s">
        <v>431</v>
      </c>
    </row>
    <row r="312" spans="1:26" x14ac:dyDescent="0.2">
      <c r="A312" s="175" t="s">
        <v>90</v>
      </c>
      <c r="B312" s="216">
        <v>0.13</v>
      </c>
      <c r="C312" s="176" t="s">
        <v>15</v>
      </c>
      <c r="D312" s="177">
        <f>VLOOKUP(A312,'Costo Materia Prima'!$D$3:$I$236,6,FALSE)*B312</f>
        <v>41.043112499999999</v>
      </c>
      <c r="E312" s="175" t="s">
        <v>90</v>
      </c>
    </row>
    <row r="313" spans="1:26" x14ac:dyDescent="0.2">
      <c r="A313" t="s">
        <v>218</v>
      </c>
      <c r="B313" s="208">
        <v>0.09</v>
      </c>
      <c r="C313" s="3" t="s">
        <v>15</v>
      </c>
      <c r="D313" s="13">
        <f>VLOOKUP(A313,'Costo Materia Prima'!$D$3:$I$236,6,FALSE)*B313</f>
        <v>9.9</v>
      </c>
    </row>
    <row r="314" spans="1:26" x14ac:dyDescent="0.2">
      <c r="A314" t="s">
        <v>88</v>
      </c>
      <c r="B314" s="209">
        <f>((7.75/1000)*O305)/2</f>
        <v>4.2452777777777777E-2</v>
      </c>
      <c r="C314" s="3" t="s">
        <v>15</v>
      </c>
      <c r="D314" s="13">
        <f>VLOOKUP(A314,'Costo Materia Prima'!$D$3:$I$236,6,FALSE)*B314</f>
        <v>11.2223069</v>
      </c>
    </row>
    <row r="315" spans="1:26" x14ac:dyDescent="0.2">
      <c r="B315" s="310" t="s">
        <v>344</v>
      </c>
      <c r="C315" s="310"/>
      <c r="D315" s="13">
        <f>SUM(D303:D314)</f>
        <v>152.75323106666667</v>
      </c>
    </row>
    <row r="317" spans="1:26" x14ac:dyDescent="0.2">
      <c r="A317" s="310" t="s">
        <v>686</v>
      </c>
      <c r="B317" s="310"/>
      <c r="C317" s="310"/>
      <c r="D317" s="310"/>
    </row>
    <row r="318" spans="1:26" ht="16" thickBot="1" x14ac:dyDescent="0.25">
      <c r="A318" s="158" t="s">
        <v>341</v>
      </c>
      <c r="B318" s="158" t="s">
        <v>4</v>
      </c>
      <c r="C318" s="158" t="s">
        <v>5</v>
      </c>
      <c r="D318" s="158" t="s">
        <v>7</v>
      </c>
      <c r="F318" s="112" t="s">
        <v>364</v>
      </c>
      <c r="G318" s="210">
        <v>0.33500000000000002</v>
      </c>
    </row>
    <row r="319" spans="1:26" x14ac:dyDescent="0.2">
      <c r="A319" s="160" t="s">
        <v>313</v>
      </c>
      <c r="B319" s="27">
        <v>0.09</v>
      </c>
      <c r="C319" s="3" t="s">
        <v>15</v>
      </c>
      <c r="D319" s="13">
        <f>VLOOKUP(A319,'Costo Materia Prima'!$D$3:$I$236,6,FALSE)*B319</f>
        <v>15.749927999999997</v>
      </c>
      <c r="F319" s="112" t="s">
        <v>362</v>
      </c>
      <c r="G319" s="85">
        <f>D323/G318</f>
        <v>98.264904556878193</v>
      </c>
    </row>
    <row r="320" spans="1:26" x14ac:dyDescent="0.2">
      <c r="A320" t="s">
        <v>279</v>
      </c>
      <c r="B320" s="27">
        <v>2E-3</v>
      </c>
      <c r="C320" s="3" t="s">
        <v>15</v>
      </c>
      <c r="D320" s="13">
        <f>VLOOKUP(A320,'Costo Materia Prima'!$D$3:$I$236,6,FALSE)*B320</f>
        <v>0.58635454545454535</v>
      </c>
    </row>
    <row r="321" spans="1:4" x14ac:dyDescent="0.2">
      <c r="A321" t="s">
        <v>124</v>
      </c>
      <c r="B321" s="27">
        <v>0.04</v>
      </c>
      <c r="C321" s="3" t="s">
        <v>15</v>
      </c>
      <c r="D321" s="13">
        <f>VLOOKUP(A321,'Costo Materia Prima'!$D$3:$I$236,6,FALSE)*B321</f>
        <v>2.0720000000000001</v>
      </c>
    </row>
    <row r="322" spans="1:4" x14ac:dyDescent="0.2">
      <c r="A322" t="s">
        <v>475</v>
      </c>
      <c r="B322" s="27">
        <v>0.2</v>
      </c>
      <c r="C322" s="3" t="s">
        <v>15</v>
      </c>
      <c r="D322" s="13">
        <f>B322*'Insumos 2'!G4</f>
        <v>14.510460481099656</v>
      </c>
    </row>
    <row r="323" spans="1:4" x14ac:dyDescent="0.2">
      <c r="B323" s="310" t="s">
        <v>344</v>
      </c>
      <c r="C323" s="310"/>
      <c r="D323" s="5">
        <f>SUM(D319:D322)</f>
        <v>32.918743026554196</v>
      </c>
    </row>
  </sheetData>
  <mergeCells count="97">
    <mergeCell ref="I302:P302"/>
    <mergeCell ref="S302:Z302"/>
    <mergeCell ref="B315:C315"/>
    <mergeCell ref="A317:D317"/>
    <mergeCell ref="B323:C323"/>
    <mergeCell ref="A285:D285"/>
    <mergeCell ref="I286:P286"/>
    <mergeCell ref="S286:Z286"/>
    <mergeCell ref="B299:C299"/>
    <mergeCell ref="A301:D301"/>
    <mergeCell ref="B269:C269"/>
    <mergeCell ref="A271:D271"/>
    <mergeCell ref="I272:P272"/>
    <mergeCell ref="S272:Z272"/>
    <mergeCell ref="B283:C283"/>
    <mergeCell ref="A258:D258"/>
    <mergeCell ref="I259:P259"/>
    <mergeCell ref="S259:Z259"/>
    <mergeCell ref="B246:C246"/>
    <mergeCell ref="B256:C256"/>
    <mergeCell ref="A229:D229"/>
    <mergeCell ref="I230:P230"/>
    <mergeCell ref="S230:Z230"/>
    <mergeCell ref="A248:D248"/>
    <mergeCell ref="I249:P249"/>
    <mergeCell ref="S249:Z249"/>
    <mergeCell ref="A218:D218"/>
    <mergeCell ref="I219:P219"/>
    <mergeCell ref="S219:Z219"/>
    <mergeCell ref="B227:C227"/>
    <mergeCell ref="A207:D207"/>
    <mergeCell ref="B216:C216"/>
    <mergeCell ref="S140:Z140"/>
    <mergeCell ref="I166:P166"/>
    <mergeCell ref="A198:D198"/>
    <mergeCell ref="B205:C205"/>
    <mergeCell ref="B196:C196"/>
    <mergeCell ref="S199:AA199"/>
    <mergeCell ref="I199:Q199"/>
    <mergeCell ref="A188:D188"/>
    <mergeCell ref="I189:P189"/>
    <mergeCell ref="S189:Z189"/>
    <mergeCell ref="S166:Z166"/>
    <mergeCell ref="A157:D157"/>
    <mergeCell ref="B163:C163"/>
    <mergeCell ref="A165:D165"/>
    <mergeCell ref="S158:Z158"/>
    <mergeCell ref="A179:D179"/>
    <mergeCell ref="I180:P180"/>
    <mergeCell ref="S180:Z180"/>
    <mergeCell ref="B186:C186"/>
    <mergeCell ref="I79:Q79"/>
    <mergeCell ref="I110:Q110"/>
    <mergeCell ref="S79:AA79"/>
    <mergeCell ref="I130:P130"/>
    <mergeCell ref="A109:D109"/>
    <mergeCell ref="S119:Z119"/>
    <mergeCell ref="S88:Z88"/>
    <mergeCell ref="I100:P100"/>
    <mergeCell ref="S100:Z100"/>
    <mergeCell ref="I119:P119"/>
    <mergeCell ref="I88:P88"/>
    <mergeCell ref="S110:AA110"/>
    <mergeCell ref="S130:Z130"/>
    <mergeCell ref="A139:D139"/>
    <mergeCell ref="I140:P140"/>
    <mergeCell ref="I158:P158"/>
    <mergeCell ref="A118:D118"/>
    <mergeCell ref="B116:C116"/>
    <mergeCell ref="B127:C127"/>
    <mergeCell ref="B137:C137"/>
    <mergeCell ref="A129:D129"/>
    <mergeCell ref="B155:C155"/>
    <mergeCell ref="A2:D2"/>
    <mergeCell ref="A17:D17"/>
    <mergeCell ref="A26:D26"/>
    <mergeCell ref="A34:D34"/>
    <mergeCell ref="B51:C51"/>
    <mergeCell ref="A42:D42"/>
    <mergeCell ref="A9:D9"/>
    <mergeCell ref="S43:Z43"/>
    <mergeCell ref="A53:D53"/>
    <mergeCell ref="A69:D69"/>
    <mergeCell ref="S70:Z70"/>
    <mergeCell ref="I70:P70"/>
    <mergeCell ref="I43:P43"/>
    <mergeCell ref="B67:C67"/>
    <mergeCell ref="I54:Q54"/>
    <mergeCell ref="S54:AA54"/>
    <mergeCell ref="AB99:AC100"/>
    <mergeCell ref="B76:C76"/>
    <mergeCell ref="B107:C107"/>
    <mergeCell ref="A99:D99"/>
    <mergeCell ref="A87:D87"/>
    <mergeCell ref="A78:D78"/>
    <mergeCell ref="B85:C85"/>
    <mergeCell ref="B97:C97"/>
  </mergeCells>
  <dataValidations count="3">
    <dataValidation type="list" allowBlank="1" showInputMessage="1" showErrorMessage="1" sqref="A19:A23 A28:A31 A36:A39 A111 A114:A115 A120 A133 A143 A169 A190 A193:A194" xr:uid="{C20187D5-292D-42FF-91EB-BEC0838492CD}">
      <formula1>ClaveProductos</formula1>
    </dataValidation>
    <dataValidation showDropDown="1" showInputMessage="1" showErrorMessage="1" sqref="A322" xr:uid="{60FEF37D-9398-F54A-A7A7-56AF983E1D0A}"/>
    <dataValidation type="list" allowBlank="1" showInputMessage="1" showErrorMessage="1" sqref="A112 A191" xr:uid="{8A39D589-D68C-4A70-A527-8CAB35EA1B77}">
      <formula1>$D$4:$D$470</formula1>
    </dataValidation>
  </dataValidations>
  <pageMargins left="0.7" right="0.7" top="0.75" bottom="0.75" header="0.3" footer="0.3"/>
  <pageSetup orientation="portrait" horizontalDpi="0" verticalDpi="0"/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0148A874-4D6C-4590-9F86-9A9F07487C72}">
          <x14:formula1>
            <xm:f>'Costo Materia Prima'!$D$3:$D$162</xm:f>
          </x14:formula1>
          <xm:sqref>A4:A6 A11:A14</xm:sqref>
        </x14:dataValidation>
        <x14:dataValidation type="list" showDropDown="1" showInputMessage="1" showErrorMessage="1" xr:uid="{F8789E16-3D5A-024A-A9FC-502554082191}">
          <x14:formula1>
            <xm:f>'Costo Materia Prima'!$D$3:$D$164</xm:f>
          </x14:formula1>
          <xm:sqref>A250:A255 A319:A321</xm:sqref>
        </x14:dataValidation>
        <x14:dataValidation type="list" allowBlank="1" showInputMessage="1" showErrorMessage="1" xr:uid="{7B72E19E-E328-2F41-854F-5826098CAA34}">
          <x14:formula1>
            <xm:f>'Costo Materia Prima'!$D$3:$D$287</xm:f>
          </x14:formula1>
          <xm:sqref>A195</xm:sqref>
        </x14:dataValidation>
        <x14:dataValidation type="list" allowBlank="1" showInputMessage="1" showErrorMessage="1" xr:uid="{0384A0B5-115E-194C-AC11-C7BD48CCFC99}">
          <x14:formula1>
            <xm:f>'Costo Materia Prima'!$D$3:$D$241</xm:f>
          </x14:formula1>
          <xm:sqref>A209:A215</xm:sqref>
        </x14:dataValidation>
        <x14:dataValidation type="list" allowBlank="1" showInputMessage="1" showErrorMessage="1" xr:uid="{98CC2FB0-EE66-CB42-B8AC-2DE86EAD201B}">
          <x14:formula1>
            <xm:f>'Costo Materia Prima'!$D$3:$D$272</xm:f>
          </x14:formula1>
          <xm:sqref>A287:A298 A311:A314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A3D603-D50D-464E-B292-EACC86D9C3A9}">
  <sheetPr codeName="Hoja20"/>
  <dimension ref="A1:AZ49"/>
  <sheetViews>
    <sheetView topLeftCell="H4" zoomScale="87" workbookViewId="0">
      <selection activeCell="V29" sqref="V29"/>
    </sheetView>
  </sheetViews>
  <sheetFormatPr baseColWidth="10" defaultColWidth="9.1640625" defaultRowHeight="15" x14ac:dyDescent="0.2"/>
  <cols>
    <col min="1" max="1" width="22.33203125" bestFit="1" customWidth="1"/>
    <col min="3" max="3" width="16.83203125" bestFit="1" customWidth="1"/>
    <col min="5" max="5" width="27.83203125" bestFit="1" customWidth="1"/>
    <col min="7" max="7" width="16.83203125" bestFit="1" customWidth="1"/>
    <col min="9" max="9" width="15" bestFit="1" customWidth="1"/>
    <col min="11" max="11" width="16.83203125" bestFit="1" customWidth="1"/>
    <col min="13" max="13" width="15" bestFit="1" customWidth="1"/>
    <col min="15" max="15" width="16.83203125" bestFit="1" customWidth="1"/>
    <col min="17" max="17" width="19.5" bestFit="1" customWidth="1"/>
    <col min="19" max="19" width="16.83203125" bestFit="1" customWidth="1"/>
    <col min="21" max="21" width="19" customWidth="1"/>
    <col min="23" max="23" width="10.33203125" customWidth="1"/>
    <col min="24" max="24" width="12.1640625" bestFit="1" customWidth="1"/>
    <col min="26" max="26" width="15" bestFit="1" customWidth="1"/>
    <col min="30" max="30" width="22.1640625" bestFit="1" customWidth="1"/>
    <col min="34" max="34" width="19.5" bestFit="1" customWidth="1"/>
    <col min="38" max="38" width="16.6640625" bestFit="1" customWidth="1"/>
    <col min="42" max="42" width="20.33203125" bestFit="1" customWidth="1"/>
    <col min="46" max="46" width="23.6640625" bestFit="1" customWidth="1"/>
    <col min="50" max="50" width="19.1640625" bestFit="1" customWidth="1"/>
  </cols>
  <sheetData>
    <row r="1" spans="1:52" x14ac:dyDescent="0.2">
      <c r="A1" t="s">
        <v>400</v>
      </c>
    </row>
    <row r="3" spans="1:52" x14ac:dyDescent="0.2">
      <c r="A3" s="20" t="s">
        <v>373</v>
      </c>
      <c r="E3" s="20" t="s">
        <v>372</v>
      </c>
      <c r="I3" s="20" t="s">
        <v>371</v>
      </c>
      <c r="M3" s="20" t="s">
        <v>370</v>
      </c>
      <c r="Q3" s="20" t="s">
        <v>401</v>
      </c>
      <c r="U3" s="169" t="s">
        <v>402</v>
      </c>
      <c r="V3" s="160"/>
      <c r="W3" s="160"/>
      <c r="X3" s="160"/>
      <c r="Z3" s="20" t="s">
        <v>403</v>
      </c>
      <c r="AD3" s="20" t="s">
        <v>404</v>
      </c>
      <c r="AH3" s="20" t="s">
        <v>405</v>
      </c>
      <c r="AL3" s="20" t="s">
        <v>639</v>
      </c>
      <c r="AP3" s="20" t="s">
        <v>640</v>
      </c>
      <c r="AT3" s="20" t="s">
        <v>688</v>
      </c>
      <c r="AX3" s="20" t="s">
        <v>425</v>
      </c>
    </row>
    <row r="4" spans="1:52" x14ac:dyDescent="0.2">
      <c r="A4" s="33" t="s">
        <v>176</v>
      </c>
      <c r="B4" s="34">
        <v>0</v>
      </c>
      <c r="C4" s="39">
        <f>VLOOKUP(A4,'Costo Materia Prima'!$D$3:$I$234,6,FALSE)*B4</f>
        <v>0</v>
      </c>
      <c r="E4" s="2" t="s">
        <v>257</v>
      </c>
      <c r="F4" s="34">
        <v>1</v>
      </c>
      <c r="G4" s="39">
        <f>VLOOKUP(E4,'Costo Materia Prima'!$D$3:$I$234,6,FALSE)*F4</f>
        <v>14.612399999999999</v>
      </c>
      <c r="I4" s="2" t="s">
        <v>265</v>
      </c>
      <c r="J4" s="38">
        <v>1</v>
      </c>
      <c r="K4" s="39">
        <f>VLOOKUP(I4,'Costo Materia Prima'!$D$3:$I$234,6,FALSE)*J4</f>
        <v>12.64249</v>
      </c>
      <c r="M4" s="2" t="s">
        <v>272</v>
      </c>
      <c r="N4" s="38">
        <v>1</v>
      </c>
      <c r="O4" s="39">
        <v>10.5</v>
      </c>
      <c r="Q4" s="2" t="s">
        <v>248</v>
      </c>
      <c r="R4" s="34">
        <v>1</v>
      </c>
      <c r="S4" s="39">
        <f>VLOOKUP(Q4,'Costo Materia Prima'!$D$3:$I$234,6,FALSE)*R4</f>
        <v>2.3219400000000001</v>
      </c>
      <c r="U4" s="33" t="s">
        <v>113</v>
      </c>
      <c r="V4" s="34">
        <v>1</v>
      </c>
      <c r="W4" s="34" t="s">
        <v>21</v>
      </c>
      <c r="X4" s="39">
        <f>VLOOKUP(U4,'Costo Materia Prima'!$D$3:$I$234,6,FALSE)*V4</f>
        <v>0.40029399999999998</v>
      </c>
      <c r="Z4" s="2" t="s">
        <v>77</v>
      </c>
      <c r="AA4" s="74">
        <v>1</v>
      </c>
      <c r="AB4" s="39">
        <f>VLOOKUP(Z4,'Costo Materia Prima'!$D$3:$I$234,6,FALSE)*AA4</f>
        <v>12.47</v>
      </c>
      <c r="AD4" s="2" t="s">
        <v>270</v>
      </c>
      <c r="AE4" s="76">
        <v>1</v>
      </c>
      <c r="AF4" s="39">
        <f>VLOOKUP(AD4,'Costo Materia Prima'!$D$3:$I$234,6,FALSE)*AE4</f>
        <v>4.5836666666666668</v>
      </c>
      <c r="AH4" s="2" t="s">
        <v>246</v>
      </c>
      <c r="AI4" s="34">
        <v>1</v>
      </c>
      <c r="AJ4" s="39">
        <f>VLOOKUP(AH4,'Costo Materia Prima'!$D$3:$I$234,6,FALSE)*AI4</f>
        <v>2.2654399999999999</v>
      </c>
      <c r="AL4" s="2" t="s">
        <v>637</v>
      </c>
      <c r="AM4" s="34">
        <v>1</v>
      </c>
      <c r="AN4" s="39">
        <f>_xlfn.IFNA(VLOOKUP(AL4,'Costo Materia Prima'!$D$3:$I$234,6,FALSE)*AM4,0)</f>
        <v>10.718399999999999</v>
      </c>
      <c r="AP4" s="2" t="s">
        <v>638</v>
      </c>
      <c r="AQ4" s="34">
        <v>1</v>
      </c>
      <c r="AR4" s="39">
        <f>_xlfn.IFNA(VLOOKUP(AP4,'Costo Materia Prima'!$D$3:$I$234,6,FALSE)*AQ4,0)</f>
        <v>11.646399999999998</v>
      </c>
      <c r="AT4" s="2" t="s">
        <v>687</v>
      </c>
      <c r="AU4" s="34">
        <v>1</v>
      </c>
      <c r="AV4" s="39">
        <f>_xlfn.IFNA(VLOOKUP(AT4,'Costo Materia Prima'!$D$3:$I$234,6,FALSE)*AU4,0)</f>
        <v>6</v>
      </c>
      <c r="AX4" s="2" t="s">
        <v>251</v>
      </c>
      <c r="AY4" s="34">
        <v>1</v>
      </c>
      <c r="AZ4" s="39">
        <f>_xlfn.IFNA(VLOOKUP(AX4,'Costo Materia Prima'!$D$3:$I$234,6,FALSE)*AY4,0)</f>
        <v>2.3219400000000001</v>
      </c>
    </row>
    <row r="5" spans="1:52" ht="16" thickBot="1" x14ac:dyDescent="0.25">
      <c r="A5" s="33" t="s">
        <v>204</v>
      </c>
      <c r="B5" s="35">
        <v>1</v>
      </c>
      <c r="C5" s="39">
        <f>VLOOKUP(A5,'Costo Materia Prima'!$D$3:$I$234,6,FALSE)*B5</f>
        <v>20.080659999999998</v>
      </c>
      <c r="E5" s="33" t="s">
        <v>167</v>
      </c>
      <c r="F5" s="37">
        <v>1</v>
      </c>
      <c r="G5" s="39">
        <f>VLOOKUP(E5,'Costo Materia Prima'!$D$3:$I$234,6,FALSE)*F5</f>
        <v>0.42919999999999997</v>
      </c>
      <c r="I5" s="36" t="s">
        <v>167</v>
      </c>
      <c r="J5" s="38">
        <v>1</v>
      </c>
      <c r="K5" s="39">
        <f>VLOOKUP(I5,'Costo Materia Prima'!$D$3:$I$234,6,FALSE)*J5</f>
        <v>0.42919999999999997</v>
      </c>
      <c r="M5" s="36" t="s">
        <v>167</v>
      </c>
      <c r="N5" s="38">
        <v>1</v>
      </c>
      <c r="O5" s="39">
        <f>VLOOKUP(M5,'Costo Materia Prima'!$D$3:$I$234,6,FALSE)*N5</f>
        <v>0.42919999999999997</v>
      </c>
      <c r="Q5" s="33" t="s">
        <v>173</v>
      </c>
      <c r="R5" s="35">
        <v>1</v>
      </c>
      <c r="S5" s="39">
        <f>VLOOKUP(Q5,'Costo Materia Prima'!$D$3:$I$234,6,FALSE)*R5</f>
        <v>0.25519999999999998</v>
      </c>
      <c r="U5" s="2" t="s">
        <v>254</v>
      </c>
      <c r="V5" s="33">
        <v>0</v>
      </c>
      <c r="W5" s="35" t="s">
        <v>21</v>
      </c>
      <c r="X5" s="39">
        <f>VLOOKUP(U5,'Costo Materia Prima'!$D$3:$I$234,6,FALSE)*V5/6</f>
        <v>0</v>
      </c>
      <c r="Z5" s="2" t="s">
        <v>79</v>
      </c>
      <c r="AA5" s="75">
        <v>1</v>
      </c>
      <c r="AB5" s="39">
        <f>VLOOKUP(Z5,'Costo Materia Prima'!$D$3:$I$234,6,FALSE)*AA5</f>
        <v>0</v>
      </c>
      <c r="AD5" s="2" t="s">
        <v>274</v>
      </c>
      <c r="AE5" s="77">
        <v>1</v>
      </c>
      <c r="AF5" s="39">
        <f>VLOOKUP(AD5,'Costo Materia Prima'!$D$3:$I$234,6,FALSE)*AE5</f>
        <v>4.5836666666666668</v>
      </c>
      <c r="AH5" s="33" t="s">
        <v>173</v>
      </c>
      <c r="AI5" s="35">
        <v>1</v>
      </c>
      <c r="AJ5" s="39">
        <f>VLOOKUP(AH5,'Costo Materia Prima'!$D$3:$I$234,6,FALSE)*AI5</f>
        <v>0.25519999999999998</v>
      </c>
      <c r="AL5" s="2" t="s">
        <v>641</v>
      </c>
      <c r="AM5" s="35">
        <v>1</v>
      </c>
      <c r="AN5" s="39">
        <f>_xlfn.IFNA(VLOOKUP(AL5,'Costo Materia Prima'!$D$3:$I$234,6,FALSE)*AM5,0)</f>
        <v>13.59</v>
      </c>
      <c r="AP5" s="2" t="s">
        <v>642</v>
      </c>
      <c r="AQ5" s="35">
        <v>1</v>
      </c>
      <c r="AR5" s="39">
        <f>_xlfn.IFNA(VLOOKUP(AP5,'Costo Materia Prima'!$D$3:$I$234,6,FALSE)*AQ5,0)</f>
        <v>12.66</v>
      </c>
      <c r="AT5" s="2" t="s">
        <v>155</v>
      </c>
      <c r="AU5" s="77">
        <v>1</v>
      </c>
      <c r="AV5" s="39">
        <f>_xlfn.IFNA(VLOOKUP(AT5,'Costo Materia Prima'!$D$3:$I$234,6,FALSE)*AU5,0)</f>
        <v>0.13</v>
      </c>
      <c r="AX5" s="33" t="s">
        <v>173</v>
      </c>
      <c r="AY5" s="35">
        <v>1</v>
      </c>
      <c r="AZ5" s="39">
        <f>_xlfn.IFNA(VLOOKUP(AX5,'Costo Materia Prima'!$D$3:$I$234,6,FALSE)*AY5,0)</f>
        <v>0.25519999999999998</v>
      </c>
    </row>
    <row r="6" spans="1:52" ht="16" thickBot="1" x14ac:dyDescent="0.25">
      <c r="A6" s="2" t="s">
        <v>268</v>
      </c>
      <c r="B6" s="35">
        <v>1</v>
      </c>
      <c r="C6" s="39">
        <f>VLOOKUP(A6,'Costo Materia Prima'!$D$3:$I$234,6,FALSE)*B6</f>
        <v>8.4938500000000001</v>
      </c>
      <c r="E6" s="33" t="s">
        <v>169</v>
      </c>
      <c r="F6" s="34">
        <v>1</v>
      </c>
      <c r="G6" s="39">
        <f>VLOOKUP(E6,'Costo Materia Prima'!$D$3:$I$234,6,FALSE)*F6</f>
        <v>0.55679999999999996</v>
      </c>
      <c r="I6" s="33" t="s">
        <v>169</v>
      </c>
      <c r="J6" s="34">
        <v>1</v>
      </c>
      <c r="K6" s="39">
        <f>VLOOKUP(I6,'Costo Materia Prima'!$D$3:$I$234,6,FALSE)*J6</f>
        <v>0.55679999999999996</v>
      </c>
      <c r="M6" s="33" t="s">
        <v>169</v>
      </c>
      <c r="N6" s="34">
        <v>1</v>
      </c>
      <c r="O6" s="39">
        <f>VLOOKUP(M6,'Costo Materia Prima'!$D$3:$I$234,6,FALSE)*N6</f>
        <v>0.55679999999999996</v>
      </c>
      <c r="Q6" s="2" t="s">
        <v>155</v>
      </c>
      <c r="R6" s="35">
        <v>1</v>
      </c>
      <c r="S6" s="39">
        <f>VLOOKUP(Q6,'Costo Materia Prima'!$D$3:$I$234,6,FALSE)*R6</f>
        <v>0.13</v>
      </c>
      <c r="U6" s="30" t="s">
        <v>167</v>
      </c>
      <c r="V6" s="35">
        <v>1</v>
      </c>
      <c r="W6" s="35" t="s">
        <v>21</v>
      </c>
      <c r="X6" s="39">
        <f>VLOOKUP(U6,'Costo Materia Prima'!$D$3:$I$234,6,FALSE)*V6</f>
        <v>0.42919999999999997</v>
      </c>
      <c r="AB6" s="50">
        <f>SUM(AB4:AB5)</f>
        <v>12.47</v>
      </c>
      <c r="AD6" s="2" t="s">
        <v>155</v>
      </c>
      <c r="AE6" s="77">
        <v>1</v>
      </c>
      <c r="AF6" s="39">
        <f>VLOOKUP(AD6,'Costo Materia Prima'!$D$3:$I$234,6,FALSE)*AE6</f>
        <v>0.13</v>
      </c>
      <c r="AH6" s="2" t="s">
        <v>155</v>
      </c>
      <c r="AI6" s="35">
        <v>1</v>
      </c>
      <c r="AJ6" s="39">
        <f>VLOOKUP(AH6,'Costo Materia Prima'!$D$3:$I$234,6,FALSE)*AI6</f>
        <v>0.13</v>
      </c>
      <c r="AL6" s="2"/>
      <c r="AM6" s="35">
        <v>1</v>
      </c>
      <c r="AN6" s="39">
        <f>_xlfn.IFNA(VLOOKUP(AL6,'Costo Materia Prima'!$D$3:$I$234,6,FALSE)*AM6,0)</f>
        <v>0</v>
      </c>
      <c r="AP6" s="2"/>
      <c r="AQ6" s="35">
        <v>1</v>
      </c>
      <c r="AR6" s="39">
        <f>_xlfn.IFNA(VLOOKUP(AP6,'Costo Materia Prima'!$D$3:$I$234,6,FALSE)*AQ6,0)</f>
        <v>0</v>
      </c>
      <c r="AT6" s="75" t="s">
        <v>173</v>
      </c>
      <c r="AU6" s="77">
        <v>1</v>
      </c>
      <c r="AV6" s="39">
        <f>_xlfn.IFNA(VLOOKUP(AT6,'Costo Materia Prima'!$D$3:$I$234,6,FALSE)*AU6,0)</f>
        <v>0.25519999999999998</v>
      </c>
      <c r="AX6" s="2" t="s">
        <v>155</v>
      </c>
      <c r="AY6" s="35">
        <v>1</v>
      </c>
      <c r="AZ6" s="39">
        <f>_xlfn.IFNA(VLOOKUP(AX6,'Costo Materia Prima'!$D$3:$I$234,6,FALSE)*AY6,0)</f>
        <v>0.13</v>
      </c>
    </row>
    <row r="7" spans="1:52" ht="16" thickBot="1" x14ac:dyDescent="0.25">
      <c r="C7" s="50">
        <f>SUM(C4:C6)</f>
        <v>28.574509999999997</v>
      </c>
      <c r="E7" s="30" t="s">
        <v>176</v>
      </c>
      <c r="F7" s="35">
        <v>0</v>
      </c>
      <c r="G7" s="39">
        <f>VLOOKUP(E7,'Costo Materia Prima'!$D$3:$I$234,6,FALSE)*F7</f>
        <v>0</v>
      </c>
      <c r="I7" s="30" t="s">
        <v>176</v>
      </c>
      <c r="J7" s="35">
        <v>0</v>
      </c>
      <c r="K7" s="39">
        <f>VLOOKUP(I7,'Costo Materia Prima'!$D$3:$I$234,6,FALSE)*J7</f>
        <v>0</v>
      </c>
      <c r="M7" s="30" t="s">
        <v>176</v>
      </c>
      <c r="N7" s="35">
        <v>0</v>
      </c>
      <c r="O7" s="39">
        <f>VLOOKUP(M7,'Costo Materia Prima'!$D$3:$I$234,6,FALSE)*N7</f>
        <v>0</v>
      </c>
      <c r="Q7" s="33" t="s">
        <v>406</v>
      </c>
      <c r="R7" s="35">
        <v>1</v>
      </c>
      <c r="S7" s="39">
        <v>0.1</v>
      </c>
      <c r="U7" s="30" t="s">
        <v>407</v>
      </c>
      <c r="V7" s="35">
        <v>1</v>
      </c>
      <c r="W7" s="35" t="s">
        <v>21</v>
      </c>
      <c r="X7" s="39">
        <f>7.2/12</f>
        <v>0.6</v>
      </c>
      <c r="AD7" s="75" t="s">
        <v>173</v>
      </c>
      <c r="AE7" s="77">
        <v>1</v>
      </c>
      <c r="AF7" s="39">
        <f>VLOOKUP(AD7,'Costo Materia Prima'!$D$3:$I$234,6,FALSE)*AE7</f>
        <v>0.25519999999999998</v>
      </c>
      <c r="AH7" s="33" t="s">
        <v>406</v>
      </c>
      <c r="AI7" s="35">
        <v>1</v>
      </c>
      <c r="AJ7" s="39">
        <v>0.1</v>
      </c>
      <c r="AL7" s="2"/>
      <c r="AM7" s="35">
        <v>1</v>
      </c>
      <c r="AN7" s="39">
        <f>_xlfn.IFNA(VLOOKUP(AL7,'Costo Materia Prima'!$D$3:$I$234,6,FALSE)*AM7,0)</f>
        <v>0</v>
      </c>
      <c r="AP7" s="2"/>
      <c r="AQ7" s="35">
        <v>1</v>
      </c>
      <c r="AR7" s="39">
        <f>_xlfn.IFNA(VLOOKUP(AP7,'Costo Materia Prima'!$D$3:$I$234,6,FALSE)*AQ7,0)</f>
        <v>0</v>
      </c>
      <c r="AT7" s="75" t="s">
        <v>406</v>
      </c>
      <c r="AU7" s="77">
        <v>1</v>
      </c>
      <c r="AV7" s="39">
        <v>1E-3</v>
      </c>
      <c r="AX7" s="33" t="s">
        <v>406</v>
      </c>
      <c r="AY7" s="35">
        <v>1</v>
      </c>
      <c r="AZ7" s="39">
        <f>_xlfn.IFNA(VLOOKUP(AX7,'Costo Materia Prima'!$D$3:$I$234,6,FALSE)*AY7,0)</f>
        <v>0</v>
      </c>
    </row>
    <row r="8" spans="1:52" ht="16" thickBot="1" x14ac:dyDescent="0.25">
      <c r="G8" s="50">
        <f>SUM(G4:G7)</f>
        <v>15.598399999999998</v>
      </c>
      <c r="K8" s="50">
        <f>SUM(K4:K7)</f>
        <v>13.628489999999999</v>
      </c>
      <c r="O8" s="50">
        <f>SUM(O4:O7)</f>
        <v>11.486000000000001</v>
      </c>
      <c r="S8" s="50">
        <f>SUM(S4:S7)</f>
        <v>2.80714</v>
      </c>
      <c r="U8" s="30" t="s">
        <v>408</v>
      </c>
      <c r="V8" s="35"/>
      <c r="W8" s="35"/>
      <c r="X8" s="272">
        <f>Y49</f>
        <v>3.1359800000000004</v>
      </c>
      <c r="AD8" s="75" t="s">
        <v>406</v>
      </c>
      <c r="AE8" s="77">
        <v>1</v>
      </c>
      <c r="AF8" s="39">
        <v>0.1</v>
      </c>
      <c r="AJ8" s="50">
        <f>SUM(AJ4:AJ7)</f>
        <v>2.7506399999999998</v>
      </c>
      <c r="AN8" s="50">
        <f>SUM(AN4:AN7)</f>
        <v>24.308399999999999</v>
      </c>
      <c r="AR8" s="50">
        <f>SUM(AR4:AR7)</f>
        <v>24.306399999999996</v>
      </c>
      <c r="AV8" s="50">
        <f>SUM(AV4:AV7)</f>
        <v>6.3862000000000005</v>
      </c>
      <c r="AZ8" s="50">
        <f>SUM(AZ4:AZ7)</f>
        <v>2.7071399999999999</v>
      </c>
    </row>
    <row r="9" spans="1:52" ht="16" thickBot="1" x14ac:dyDescent="0.25">
      <c r="X9" s="50">
        <f>SUM(X4:X8)</f>
        <v>4.565474</v>
      </c>
      <c r="AF9" s="50">
        <f>SUM(AF4:AF8)</f>
        <v>9.6525333333333343</v>
      </c>
    </row>
    <row r="11" spans="1:52" x14ac:dyDescent="0.2">
      <c r="U11" s="266" t="s">
        <v>794</v>
      </c>
      <c r="V11" s="160"/>
      <c r="W11" s="160"/>
      <c r="X11" s="160"/>
    </row>
    <row r="12" spans="1:52" x14ac:dyDescent="0.2">
      <c r="U12" s="267" t="s">
        <v>110</v>
      </c>
      <c r="V12" s="268">
        <v>1</v>
      </c>
      <c r="W12" s="268" t="s">
        <v>21</v>
      </c>
      <c r="X12" s="269">
        <f>VLOOKUP(U12,'Costo Materia Prima'!$D$3:$I$234,6,FALSE)*V12</f>
        <v>0.36</v>
      </c>
    </row>
    <row r="13" spans="1:52" x14ac:dyDescent="0.2">
      <c r="U13" s="2" t="s">
        <v>254</v>
      </c>
      <c r="V13" s="267">
        <v>0</v>
      </c>
      <c r="W13" s="270" t="s">
        <v>21</v>
      </c>
      <c r="X13" s="269">
        <f>VLOOKUP(U13,'Costo Materia Prima'!$D$3:$I$234,6,FALSE)*V13/6</f>
        <v>0</v>
      </c>
    </row>
    <row r="14" spans="1:52" x14ac:dyDescent="0.2">
      <c r="U14" s="271" t="s">
        <v>167</v>
      </c>
      <c r="V14" s="270">
        <v>1</v>
      </c>
      <c r="W14" s="270" t="s">
        <v>21</v>
      </c>
      <c r="X14" s="269">
        <f>VLOOKUP(U14,'Costo Materia Prima'!$D$3:$I$234,6,FALSE)*V14</f>
        <v>0.42919999999999997</v>
      </c>
    </row>
    <row r="15" spans="1:52" x14ac:dyDescent="0.2">
      <c r="U15" s="271" t="s">
        <v>407</v>
      </c>
      <c r="V15" s="270">
        <v>1</v>
      </c>
      <c r="W15" s="270" t="s">
        <v>21</v>
      </c>
      <c r="X15" s="269">
        <f>7.2/12</f>
        <v>0.6</v>
      </c>
    </row>
    <row r="16" spans="1:52" ht="16" thickBot="1" x14ac:dyDescent="0.25">
      <c r="U16" s="75" t="s">
        <v>408</v>
      </c>
      <c r="V16" s="270">
        <v>1</v>
      </c>
      <c r="W16" s="270" t="s">
        <v>21</v>
      </c>
      <c r="X16" s="272">
        <f>Y49</f>
        <v>3.1359800000000004</v>
      </c>
    </row>
    <row r="17" spans="21:24" ht="16" thickBot="1" x14ac:dyDescent="0.25">
      <c r="X17" s="273">
        <f>SUM(X12:X16)</f>
        <v>4.5251800000000006</v>
      </c>
    </row>
    <row r="19" spans="21:24" ht="16" thickBot="1" x14ac:dyDescent="0.25">
      <c r="U19" s="266" t="s">
        <v>795</v>
      </c>
      <c r="V19" s="274"/>
      <c r="W19" s="274"/>
      <c r="X19" s="274"/>
    </row>
    <row r="20" spans="21:24" ht="16" thickBot="1" x14ac:dyDescent="0.25">
      <c r="U20" s="276" t="s">
        <v>110</v>
      </c>
      <c r="V20" s="268">
        <v>2</v>
      </c>
      <c r="W20" s="268" t="s">
        <v>21</v>
      </c>
      <c r="X20" s="269">
        <f>VLOOKUP(U20,'Costo Materia Prima'!$D$3:$I$234,6,FALSE)*V20</f>
        <v>0.72</v>
      </c>
    </row>
    <row r="21" spans="21:24" x14ac:dyDescent="0.2">
      <c r="U21" s="275" t="s">
        <v>806</v>
      </c>
      <c r="V21" s="267">
        <v>1</v>
      </c>
      <c r="W21" s="270" t="s">
        <v>21</v>
      </c>
      <c r="X21" s="269">
        <f>VLOOKUP(U21,'Costo Materia Prima'!$D$3:$I$234,6,FALSE)*V21/6</f>
        <v>0</v>
      </c>
    </row>
    <row r="22" spans="21:24" x14ac:dyDescent="0.2">
      <c r="U22" s="75" t="s">
        <v>800</v>
      </c>
      <c r="V22" s="270">
        <v>1</v>
      </c>
      <c r="W22" s="270" t="s">
        <v>21</v>
      </c>
      <c r="X22" s="269">
        <f>VLOOKUP(U22,'Costo Materia Prima'!$D$3:$I$234,6,FALSE)*V22</f>
        <v>2.7769230769230768</v>
      </c>
    </row>
    <row r="23" spans="21:24" x14ac:dyDescent="0.2">
      <c r="U23" s="75" t="s">
        <v>407</v>
      </c>
      <c r="V23" s="270">
        <v>1</v>
      </c>
      <c r="W23" s="270" t="s">
        <v>21</v>
      </c>
      <c r="X23" s="269">
        <f>7.2/12</f>
        <v>0.6</v>
      </c>
    </row>
    <row r="24" spans="21:24" ht="16" thickBot="1" x14ac:dyDescent="0.25">
      <c r="U24" s="271"/>
      <c r="V24" s="270"/>
      <c r="W24" s="270"/>
      <c r="X24" s="272"/>
    </row>
    <row r="25" spans="21:24" ht="16" thickBot="1" x14ac:dyDescent="0.25">
      <c r="X25" s="273">
        <f>SUM(X20:X24)</f>
        <v>4.0969230769230762</v>
      </c>
    </row>
    <row r="27" spans="21:24" x14ac:dyDescent="0.2">
      <c r="U27" s="266" t="s">
        <v>796</v>
      </c>
      <c r="V27" s="274"/>
      <c r="W27" s="274"/>
      <c r="X27" s="274"/>
    </row>
    <row r="28" spans="21:24" x14ac:dyDescent="0.2">
      <c r="U28" s="74" t="s">
        <v>113</v>
      </c>
      <c r="V28" s="268">
        <v>4</v>
      </c>
      <c r="W28" s="268" t="s">
        <v>21</v>
      </c>
      <c r="X28" s="269">
        <f>VLOOKUP(U28,'Costo Materia Prima'!$D$3:$I$234,6,FALSE)*V28</f>
        <v>1.6011759999999999</v>
      </c>
    </row>
    <row r="29" spans="21:24" x14ac:dyDescent="0.2">
      <c r="U29" s="2" t="s">
        <v>615</v>
      </c>
      <c r="V29" s="267">
        <v>1</v>
      </c>
      <c r="W29" s="270" t="s">
        <v>21</v>
      </c>
      <c r="X29" s="269">
        <f>VLOOKUP(U29,'Costo Materia Prima'!$D$3:$I$234,6,FALSE)*V29</f>
        <v>0</v>
      </c>
    </row>
    <row r="30" spans="21:24" x14ac:dyDescent="0.2">
      <c r="U30" s="75" t="s">
        <v>799</v>
      </c>
      <c r="V30" s="270">
        <v>1</v>
      </c>
      <c r="W30" s="270" t="s">
        <v>21</v>
      </c>
      <c r="X30" s="269">
        <f>VLOOKUP(U30,'Costo Materia Prima'!$D$3:$I$234,6,FALSE)*V30</f>
        <v>4.8230769230769228</v>
      </c>
    </row>
    <row r="31" spans="21:24" x14ac:dyDescent="0.2">
      <c r="U31" s="75" t="s">
        <v>803</v>
      </c>
      <c r="V31" s="270">
        <v>1</v>
      </c>
      <c r="W31" s="270" t="s">
        <v>21</v>
      </c>
      <c r="X31" s="269">
        <f>7.2/12</f>
        <v>0.6</v>
      </c>
    </row>
    <row r="32" spans="21:24" ht="16" thickBot="1" x14ac:dyDescent="0.25">
      <c r="U32" s="271"/>
      <c r="V32" s="270"/>
      <c r="W32" s="270"/>
      <c r="X32" s="269"/>
    </row>
    <row r="33" spans="21:25" ht="16" thickBot="1" x14ac:dyDescent="0.25">
      <c r="X33" s="273">
        <f>SUM(X28:X32)</f>
        <v>7.0242529230769222</v>
      </c>
    </row>
    <row r="42" spans="21:25" x14ac:dyDescent="0.2">
      <c r="U42" s="310" t="s">
        <v>409</v>
      </c>
      <c r="V42" s="310"/>
      <c r="W42" s="310"/>
      <c r="X42" s="310"/>
      <c r="Y42" s="310"/>
    </row>
    <row r="43" spans="21:25" ht="32" x14ac:dyDescent="0.2">
      <c r="U43" s="151" t="s">
        <v>410</v>
      </c>
      <c r="V43" s="123" t="s">
        <v>7</v>
      </c>
      <c r="W43" s="151" t="s">
        <v>411</v>
      </c>
      <c r="X43" s="123" t="s">
        <v>412</v>
      </c>
      <c r="Y43" s="123"/>
    </row>
    <row r="44" spans="21:25" x14ac:dyDescent="0.2">
      <c r="U44">
        <v>12</v>
      </c>
      <c r="V44" s="5">
        <v>24</v>
      </c>
      <c r="W44" s="26">
        <v>1E-3</v>
      </c>
      <c r="X44" s="13">
        <f>V44/U44</f>
        <v>2</v>
      </c>
      <c r="Y44" s="13">
        <f>X44*W44</f>
        <v>2E-3</v>
      </c>
    </row>
    <row r="45" spans="21:25" x14ac:dyDescent="0.2">
      <c r="U45">
        <v>6</v>
      </c>
      <c r="V45" s="5">
        <v>13.84</v>
      </c>
      <c r="W45" s="26">
        <v>0.3</v>
      </c>
      <c r="X45" s="13">
        <f>V45/U45</f>
        <v>2.3066666666666666</v>
      </c>
      <c r="Y45" s="13">
        <f>X45*W45</f>
        <v>0.69199999999999995</v>
      </c>
    </row>
    <row r="46" spans="21:25" x14ac:dyDescent="0.2">
      <c r="U46">
        <v>4</v>
      </c>
      <c r="V46" s="5">
        <v>10.47</v>
      </c>
      <c r="W46" s="26">
        <v>0.5</v>
      </c>
      <c r="X46" s="13">
        <f t="shared" ref="X46:X48" si="0">V46/U46</f>
        <v>2.6175000000000002</v>
      </c>
      <c r="Y46" s="13">
        <f t="shared" ref="Y46:Y47" si="1">X46*W46</f>
        <v>1.3087500000000001</v>
      </c>
    </row>
    <row r="47" spans="21:25" x14ac:dyDescent="0.2">
      <c r="U47">
        <v>2</v>
      </c>
      <c r="V47" s="5">
        <v>8.27</v>
      </c>
      <c r="W47" s="26">
        <v>0.1</v>
      </c>
      <c r="X47" s="13">
        <f t="shared" si="0"/>
        <v>4.1349999999999998</v>
      </c>
      <c r="Y47" s="13">
        <f t="shared" si="1"/>
        <v>0.41349999999999998</v>
      </c>
    </row>
    <row r="48" spans="21:25" ht="16" thickBot="1" x14ac:dyDescent="0.25">
      <c r="U48" s="98">
        <v>1</v>
      </c>
      <c r="V48" s="100">
        <v>7.27</v>
      </c>
      <c r="W48" s="152">
        <f>1-SUM(W44:W47)</f>
        <v>9.9000000000000088E-2</v>
      </c>
      <c r="X48" s="86">
        <f t="shared" si="0"/>
        <v>7.27</v>
      </c>
      <c r="Y48" s="86">
        <f>X48*W48</f>
        <v>0.71973000000000065</v>
      </c>
    </row>
    <row r="49" spans="25:25" ht="16" thickTop="1" x14ac:dyDescent="0.2">
      <c r="Y49" s="126">
        <f>SUM(Y44:Y48)</f>
        <v>3.1359800000000004</v>
      </c>
    </row>
  </sheetData>
  <mergeCells count="1">
    <mergeCell ref="U42:Y42"/>
  </mergeCells>
  <pageMargins left="0.7" right="0.7" top="0.75" bottom="0.75" header="0.3" footer="0.3"/>
  <pageSetup orientation="portrait" horizontalDpi="0" verticalDpi="0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EE927ECD-931E-4206-B891-46DF4202BC22}">
          <x14:formula1>
            <xm:f>'Costo Materia Prima'!$D$3:$D$162</xm:f>
          </x14:formula1>
          <xm:sqref>A6 AT4:AT5 AH4 AH6 E4 I4 M4 Q4 Q6 U5 Z4:Z5 AD4:AD6 AL4:AL7 AP4:AP7 AX4 AX6 U13 U21 U29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6DE63D-0436-4AC7-BB2E-59E09CE711E8}">
  <sheetPr codeName="Hoja9"/>
  <dimension ref="A3:W31"/>
  <sheetViews>
    <sheetView zoomScale="108" zoomScaleNormal="100" workbookViewId="0">
      <selection activeCell="K31" sqref="K31"/>
    </sheetView>
  </sheetViews>
  <sheetFormatPr baseColWidth="10" defaultColWidth="11.5" defaultRowHeight="15" x14ac:dyDescent="0.2"/>
  <cols>
    <col min="1" max="1" width="18.83203125" customWidth="1"/>
    <col min="2" max="2" width="13.6640625" customWidth="1"/>
    <col min="8" max="8" width="19.83203125" customWidth="1"/>
    <col min="9" max="9" width="18.5" customWidth="1"/>
    <col min="10" max="12" width="16.33203125" customWidth="1"/>
    <col min="13" max="13" width="7.1640625" customWidth="1"/>
    <col min="14" max="14" width="6.5" customWidth="1"/>
    <col min="15" max="15" width="18.33203125" customWidth="1"/>
    <col min="16" max="16" width="19.6640625" customWidth="1"/>
    <col min="17" max="18" width="14.33203125" customWidth="1"/>
    <col min="19" max="19" width="9.5" customWidth="1"/>
    <col min="20" max="20" width="13.83203125" customWidth="1"/>
  </cols>
  <sheetData>
    <row r="3" spans="1:23" ht="16" thickBot="1" x14ac:dyDescent="0.25">
      <c r="A3" s="15"/>
      <c r="B3" s="15"/>
      <c r="C3" s="150" t="s">
        <v>183</v>
      </c>
      <c r="D3" s="150" t="s">
        <v>421</v>
      </c>
      <c r="E3" s="150" t="s">
        <v>430</v>
      </c>
      <c r="F3" s="150" t="s">
        <v>180</v>
      </c>
      <c r="G3" s="150" t="s">
        <v>431</v>
      </c>
      <c r="H3" s="150" t="s">
        <v>482</v>
      </c>
      <c r="I3" s="150" t="s">
        <v>483</v>
      </c>
      <c r="J3" s="150" t="s">
        <v>604</v>
      </c>
      <c r="K3" s="150" t="s">
        <v>792</v>
      </c>
      <c r="L3" s="150" t="s">
        <v>793</v>
      </c>
      <c r="N3" s="123"/>
      <c r="O3" s="326" t="s">
        <v>484</v>
      </c>
      <c r="P3" s="326"/>
      <c r="Q3" s="326"/>
      <c r="R3" s="326"/>
      <c r="S3" s="326"/>
      <c r="T3" s="326"/>
      <c r="U3" s="326"/>
    </row>
    <row r="4" spans="1:23" x14ac:dyDescent="0.2">
      <c r="A4" t="s">
        <v>488</v>
      </c>
      <c r="C4" s="13">
        <f>'Insumos 2'!X114</f>
        <v>2.8153353506769827</v>
      </c>
      <c r="D4" s="13">
        <f>'Insumos 2'!X83</f>
        <v>3.1802048776362453</v>
      </c>
      <c r="E4" s="13">
        <f>'Insumos 2'!X123</f>
        <v>4.4108076747922347</v>
      </c>
      <c r="F4" s="32">
        <f>'Insumos 2'!X58</f>
        <v>3.3688280915212734</v>
      </c>
      <c r="G4" s="13">
        <f>'Insumos 2'!X134</f>
        <v>4.9465426934165446</v>
      </c>
      <c r="H4" s="13">
        <f t="shared" ref="H4:I8" si="0">C4</f>
        <v>2.8153353506769827</v>
      </c>
      <c r="I4" s="13">
        <f t="shared" si="0"/>
        <v>3.1802048776362453</v>
      </c>
      <c r="J4" s="13">
        <f>'Insumos 2'!G195</f>
        <v>12.322200000000002</v>
      </c>
      <c r="K4" s="13">
        <f>'Insumos 2'!X114</f>
        <v>2.8153353506769827</v>
      </c>
      <c r="L4" s="13">
        <f>'Insumos 2'!X83</f>
        <v>3.1802048776362453</v>
      </c>
      <c r="N4" s="13"/>
      <c r="O4" s="2" t="s">
        <v>345</v>
      </c>
      <c r="P4" s="2" t="s">
        <v>485</v>
      </c>
      <c r="Q4" s="2" t="s">
        <v>346</v>
      </c>
      <c r="R4" s="2" t="s">
        <v>188</v>
      </c>
      <c r="S4" s="2" t="s">
        <v>783</v>
      </c>
      <c r="T4" s="2" t="s">
        <v>486</v>
      </c>
      <c r="U4" s="2" t="s">
        <v>487</v>
      </c>
      <c r="V4" s="18" t="s">
        <v>608</v>
      </c>
    </row>
    <row r="5" spans="1:23" x14ac:dyDescent="0.2">
      <c r="A5" t="s">
        <v>489</v>
      </c>
      <c r="C5" s="13">
        <f>O5*'Insumos 1'!G13</f>
        <v>3.2426287864782122</v>
      </c>
      <c r="D5" s="13">
        <f>P5*'Insumos 1'!G5</f>
        <v>4.2517931320676423</v>
      </c>
      <c r="E5" s="13">
        <f>Q5*'Insumos 1'!G23</f>
        <v>4.9371307664632429</v>
      </c>
      <c r="F5" s="13">
        <f>Q5*'Insumos 1'!G23</f>
        <v>4.9371307664632429</v>
      </c>
      <c r="G5" s="13">
        <f>S5*'Insumos 1'!G95</f>
        <v>8.8348418317748099</v>
      </c>
      <c r="H5" s="13">
        <f t="shared" si="0"/>
        <v>3.2426287864782122</v>
      </c>
      <c r="I5" s="13">
        <f t="shared" si="0"/>
        <v>4.2517931320676423</v>
      </c>
      <c r="J5" s="13">
        <f>V12*V5</f>
        <v>8.5068000000000019</v>
      </c>
      <c r="K5" s="13">
        <f>O6*'Insumos 1'!G13</f>
        <v>2.3161634189130083</v>
      </c>
      <c r="L5" s="13">
        <f>P6*'Insumos 1'!G5</f>
        <v>3.4014345056541133</v>
      </c>
      <c r="N5" s="13"/>
      <c r="O5" s="2">
        <v>3.5000000000000003E-2</v>
      </c>
      <c r="P5" s="244">
        <v>0.05</v>
      </c>
      <c r="Q5" s="2">
        <v>4.2000000000000003E-2</v>
      </c>
      <c r="R5" s="2">
        <v>1.6E-2</v>
      </c>
      <c r="S5" s="2">
        <v>6.8000000000000005E-2</v>
      </c>
      <c r="T5" s="2">
        <v>1.2999999999999999E-2</v>
      </c>
      <c r="U5" s="2">
        <v>5.0000000000000001E-3</v>
      </c>
      <c r="V5" s="18">
        <v>5.6000000000000001E-2</v>
      </c>
    </row>
    <row r="6" spans="1:23" x14ac:dyDescent="0.2">
      <c r="A6" t="s">
        <v>797</v>
      </c>
      <c r="B6" s="13"/>
      <c r="C6" s="177">
        <f>[2]INSUMOS!$K$14</f>
        <v>1.092475834023773</v>
      </c>
      <c r="D6" s="177">
        <f>[2]INSUMOS!$K$17</f>
        <v>12.275941228885785</v>
      </c>
      <c r="E6" s="177">
        <f>[2]INSUMOS!$K$16</f>
        <v>1.3576286049497877</v>
      </c>
      <c r="F6" s="177">
        <f>[2]INSUMOS!$K$16</f>
        <v>1.3576286049497877</v>
      </c>
      <c r="G6" s="177"/>
      <c r="H6" s="177">
        <f>[2]INSUMOS!$K$14</f>
        <v>1.092475834023773</v>
      </c>
      <c r="I6" s="177">
        <f>[2]INSUMOS!$K$17</f>
        <v>12.275941228885785</v>
      </c>
      <c r="J6" s="177"/>
      <c r="K6" s="177">
        <f>[2]INSUMOS!$K$14</f>
        <v>1.092475834023773</v>
      </c>
      <c r="L6" s="177">
        <f>[2]INSUMOS!$K$17</f>
        <v>12.275941228885785</v>
      </c>
      <c r="N6" s="262" t="s">
        <v>370</v>
      </c>
      <c r="O6" s="263">
        <v>2.5000000000000001E-2</v>
      </c>
      <c r="P6" s="263">
        <v>0.04</v>
      </c>
      <c r="R6" s="264">
        <v>0.01</v>
      </c>
      <c r="V6">
        <v>95.68</v>
      </c>
      <c r="W6" t="s">
        <v>611</v>
      </c>
    </row>
    <row r="7" spans="1:23" x14ac:dyDescent="0.2">
      <c r="B7" s="13"/>
      <c r="C7" s="13">
        <f>C6*O5</f>
        <v>3.823665419083206E-2</v>
      </c>
      <c r="D7" s="13">
        <f>D6*P5</f>
        <v>0.61379706144428925</v>
      </c>
      <c r="E7" s="13">
        <f>E6*Q5</f>
        <v>5.7020401407891087E-2</v>
      </c>
      <c r="F7" s="13">
        <f>F6*Q5</f>
        <v>5.7020401407891087E-2</v>
      </c>
      <c r="G7" s="13"/>
      <c r="H7" s="13">
        <f>H6*O5</f>
        <v>3.823665419083206E-2</v>
      </c>
      <c r="I7" s="13">
        <f>I6*P5</f>
        <v>0.61379706144428925</v>
      </c>
      <c r="J7" s="13"/>
      <c r="K7" s="13">
        <f>K6*O6</f>
        <v>2.7311895850594327E-2</v>
      </c>
      <c r="L7" s="13">
        <f>L6*P6</f>
        <v>0.49103764915543141</v>
      </c>
      <c r="N7" s="262"/>
      <c r="O7" s="265"/>
      <c r="P7" s="265"/>
      <c r="R7" s="175"/>
    </row>
    <row r="8" spans="1:23" x14ac:dyDescent="0.2">
      <c r="A8" t="s">
        <v>481</v>
      </c>
      <c r="C8" s="13">
        <f>R5*'Costo Materia Prima'!I83</f>
        <v>1.8240000000000001</v>
      </c>
      <c r="D8" s="13">
        <f>R5*'Costo Materia Prima'!I83</f>
        <v>1.8240000000000001</v>
      </c>
      <c r="H8" s="13">
        <f t="shared" si="0"/>
        <v>1.8240000000000001</v>
      </c>
      <c r="I8" s="13">
        <f>D8</f>
        <v>1.8240000000000001</v>
      </c>
      <c r="J8" s="13"/>
      <c r="K8" s="13">
        <f>R6*'Costo Materia Prima'!I83</f>
        <v>1.1400000000000001</v>
      </c>
      <c r="L8" s="13">
        <f>R6*'Costo Materia Prima'!I83</f>
        <v>1.1400000000000001</v>
      </c>
      <c r="N8" s="262"/>
      <c r="O8" s="265"/>
      <c r="P8" s="265"/>
      <c r="R8" s="175"/>
    </row>
    <row r="9" spans="1:23" x14ac:dyDescent="0.2">
      <c r="A9" t="s">
        <v>490</v>
      </c>
      <c r="G9" s="13">
        <f>(0.017/24)*'Costo Materia Prima'!I37</f>
        <v>0.23008555555555557</v>
      </c>
      <c r="H9" s="13">
        <v>0.5</v>
      </c>
      <c r="I9" s="13">
        <v>0.5</v>
      </c>
      <c r="J9" s="13"/>
      <c r="K9" s="13"/>
      <c r="L9" s="13"/>
      <c r="N9" s="13"/>
      <c r="R9" s="12"/>
      <c r="S9" s="12"/>
      <c r="V9">
        <v>116.99</v>
      </c>
      <c r="W9" t="s">
        <v>610</v>
      </c>
    </row>
    <row r="10" spans="1:23" x14ac:dyDescent="0.2">
      <c r="A10" t="s">
        <v>491</v>
      </c>
      <c r="G10" s="13">
        <f>0.005*'Costo Materia Prima'!I39</f>
        <v>1.57858125</v>
      </c>
      <c r="H10" s="13"/>
      <c r="I10" s="13"/>
      <c r="J10" s="13"/>
      <c r="K10" s="13"/>
      <c r="L10" s="13"/>
      <c r="N10" s="13"/>
      <c r="V10">
        <f>SUM(V6:V9)</f>
        <v>212.67000000000002</v>
      </c>
    </row>
    <row r="11" spans="1:23" ht="16" thickBot="1" x14ac:dyDescent="0.25">
      <c r="A11" s="98" t="s">
        <v>492</v>
      </c>
      <c r="B11" s="98"/>
      <c r="C11" s="99"/>
      <c r="D11" s="98"/>
      <c r="E11" s="100"/>
      <c r="F11" s="99"/>
      <c r="G11" s="99"/>
      <c r="H11" s="99"/>
      <c r="I11" s="98"/>
      <c r="J11" s="98"/>
      <c r="K11" s="98"/>
      <c r="L11" s="98"/>
      <c r="N11" s="13"/>
      <c r="U11" t="s">
        <v>609</v>
      </c>
      <c r="V11">
        <v>1.4</v>
      </c>
    </row>
    <row r="12" spans="1:23" ht="16" thickTop="1" x14ac:dyDescent="0.2">
      <c r="A12" s="20" t="s">
        <v>455</v>
      </c>
      <c r="C12" s="127">
        <f>SUM(C4:C5,C7:C11)</f>
        <v>7.9202007913460264</v>
      </c>
      <c r="D12" s="127">
        <f t="shared" ref="D12:L12" si="1">SUM(D4:D5,D7:D11)</f>
        <v>9.869795071148177</v>
      </c>
      <c r="E12" s="127">
        <f t="shared" si="1"/>
        <v>9.404958842663369</v>
      </c>
      <c r="F12" s="127">
        <f>SUM(F4:F5,F7:F11)</f>
        <v>8.3629792593924073</v>
      </c>
      <c r="G12" s="127">
        <f t="shared" si="1"/>
        <v>15.59005133074691</v>
      </c>
      <c r="H12" s="127">
        <f t="shared" si="1"/>
        <v>8.4202007913460264</v>
      </c>
      <c r="I12" s="127">
        <f t="shared" si="1"/>
        <v>10.369795071148177</v>
      </c>
      <c r="J12" s="127">
        <f t="shared" si="1"/>
        <v>20.829000000000004</v>
      </c>
      <c r="K12" s="127">
        <f t="shared" si="1"/>
        <v>6.2988106654405858</v>
      </c>
      <c r="L12" s="127">
        <f t="shared" si="1"/>
        <v>8.2126770324457894</v>
      </c>
      <c r="U12" t="s">
        <v>47</v>
      </c>
      <c r="V12">
        <f>V10/V11</f>
        <v>151.90714285714287</v>
      </c>
    </row>
    <row r="13" spans="1:23" ht="16" thickBot="1" x14ac:dyDescent="0.25">
      <c r="A13" s="98" t="s">
        <v>493</v>
      </c>
      <c r="B13" s="98"/>
      <c r="C13" s="100">
        <f>'Insumos 3'!X9</f>
        <v>4.565474</v>
      </c>
      <c r="D13" s="100">
        <f>C13</f>
        <v>4.565474</v>
      </c>
      <c r="E13" s="100">
        <f>D13</f>
        <v>4.565474</v>
      </c>
      <c r="F13" s="100">
        <f t="shared" ref="F13:I13" si="2">E13</f>
        <v>4.565474</v>
      </c>
      <c r="G13" s="100">
        <f>F13</f>
        <v>4.565474</v>
      </c>
      <c r="H13" s="100">
        <f t="shared" si="2"/>
        <v>4.565474</v>
      </c>
      <c r="I13" s="100">
        <f t="shared" si="2"/>
        <v>4.565474</v>
      </c>
      <c r="J13" s="100">
        <f>I13</f>
        <v>4.565474</v>
      </c>
      <c r="K13" s="100">
        <f>J13</f>
        <v>4.565474</v>
      </c>
      <c r="L13" s="100">
        <f t="shared" ref="L13" si="3">K13</f>
        <v>4.565474</v>
      </c>
      <c r="N13" s="111"/>
      <c r="P13" s="13"/>
      <c r="Q13">
        <v>1.1000000000000001</v>
      </c>
      <c r="R13" t="s">
        <v>784</v>
      </c>
    </row>
    <row r="14" spans="1:23" ht="16" thickTop="1" x14ac:dyDescent="0.2">
      <c r="A14" s="20" t="s">
        <v>494</v>
      </c>
      <c r="C14" s="149">
        <f>SUM(C12:C13)</f>
        <v>12.485674791346026</v>
      </c>
      <c r="D14" s="149">
        <f t="shared" ref="D14:J14" si="4">SUM(D12:D13)</f>
        <v>14.435269071148177</v>
      </c>
      <c r="E14" s="149">
        <f t="shared" si="4"/>
        <v>13.970432842663369</v>
      </c>
      <c r="F14" s="149">
        <f t="shared" si="4"/>
        <v>12.928453259392407</v>
      </c>
      <c r="G14" s="149">
        <f t="shared" si="4"/>
        <v>20.155525330746912</v>
      </c>
      <c r="H14" s="149">
        <f t="shared" si="4"/>
        <v>12.985674791346026</v>
      </c>
      <c r="I14" s="149">
        <f t="shared" si="4"/>
        <v>14.935269071148177</v>
      </c>
      <c r="J14" s="149">
        <f t="shared" si="4"/>
        <v>25.394474000000002</v>
      </c>
      <c r="K14" s="149">
        <f>SUM(K12:K13)</f>
        <v>10.864284665440586</v>
      </c>
      <c r="L14" s="149">
        <f>SUM(L12:L13)</f>
        <v>12.778151032445789</v>
      </c>
      <c r="N14" s="95"/>
      <c r="P14" s="13"/>
      <c r="Q14">
        <v>150</v>
      </c>
      <c r="R14" t="s">
        <v>456</v>
      </c>
    </row>
    <row r="15" spans="1:23" x14ac:dyDescent="0.2">
      <c r="A15" s="20"/>
      <c r="C15" s="111"/>
      <c r="D15" s="111"/>
      <c r="E15" s="111"/>
      <c r="F15" s="111"/>
      <c r="G15" s="111"/>
      <c r="H15" s="111"/>
      <c r="I15" s="111"/>
      <c r="J15" s="13"/>
      <c r="K15" s="13"/>
      <c r="L15" s="13"/>
      <c r="N15" s="236"/>
      <c r="P15" s="13"/>
      <c r="Q15">
        <v>6.8000000000000005E-2</v>
      </c>
      <c r="R15" t="s">
        <v>785</v>
      </c>
    </row>
    <row r="16" spans="1:23" x14ac:dyDescent="0.2">
      <c r="N16" s="13"/>
      <c r="P16" s="13"/>
    </row>
    <row r="17" spans="1:12" ht="16" thickBot="1" x14ac:dyDescent="0.25">
      <c r="A17" s="283" t="s">
        <v>817</v>
      </c>
      <c r="B17" s="163"/>
      <c r="C17" s="150" t="s">
        <v>183</v>
      </c>
      <c r="D17" s="150" t="s">
        <v>421</v>
      </c>
      <c r="I17" s="283" t="s">
        <v>816</v>
      </c>
      <c r="J17" s="163"/>
      <c r="K17" s="150" t="s">
        <v>792</v>
      </c>
      <c r="L17" s="150" t="s">
        <v>793</v>
      </c>
    </row>
    <row r="18" spans="1:12" x14ac:dyDescent="0.2">
      <c r="A18" t="s">
        <v>488</v>
      </c>
      <c r="B18" s="163"/>
      <c r="C18" s="286">
        <f>'Insumos 2'!X114*2</f>
        <v>5.6306707013539654</v>
      </c>
      <c r="D18" s="286">
        <f>'Insumos 2'!X83*2</f>
        <v>6.3604097552724905</v>
      </c>
      <c r="I18" t="s">
        <v>488</v>
      </c>
      <c r="J18" s="163"/>
      <c r="K18" s="13">
        <f>'Insumos 2'!X114</f>
        <v>2.8153353506769827</v>
      </c>
      <c r="L18" s="13">
        <f>'Insumos 2'!X83</f>
        <v>3.1802048776362453</v>
      </c>
    </row>
    <row r="19" spans="1:12" x14ac:dyDescent="0.2">
      <c r="A19" s="20" t="s">
        <v>489</v>
      </c>
      <c r="B19" s="163"/>
      <c r="C19" s="286">
        <f>O5*'Insumos 1'!G13*2</f>
        <v>6.4852575729564244</v>
      </c>
      <c r="D19" s="286">
        <f>P5*'Insumos 1'!G5*2</f>
        <v>8.5035862641352846</v>
      </c>
      <c r="I19" t="s">
        <v>489</v>
      </c>
      <c r="J19" s="163"/>
      <c r="K19" s="13">
        <f>O6*'Insumos 1'!G13</f>
        <v>2.3161634189130083</v>
      </c>
      <c r="L19" s="13">
        <f>P6*'Insumos 1'!G5</f>
        <v>3.4014345056541133</v>
      </c>
    </row>
    <row r="20" spans="1:12" x14ac:dyDescent="0.2">
      <c r="A20" t="s">
        <v>797</v>
      </c>
      <c r="B20" s="163"/>
      <c r="C20" s="287">
        <f>[2]INSUMOS!$K$14</f>
        <v>1.092475834023773</v>
      </c>
      <c r="D20" s="287">
        <f>[2]INSUMOS!$K$17</f>
        <v>12.275941228885785</v>
      </c>
      <c r="I20" t="s">
        <v>797</v>
      </c>
      <c r="J20" s="163"/>
      <c r="K20" s="177">
        <f>[2]INSUMOS!$K$14</f>
        <v>1.092475834023773</v>
      </c>
      <c r="L20" s="177">
        <f>[2]INSUMOS!$K$17</f>
        <v>12.275941228885785</v>
      </c>
    </row>
    <row r="21" spans="1:12" x14ac:dyDescent="0.2">
      <c r="B21" s="163"/>
      <c r="C21" s="286">
        <f>C6*O5*2</f>
        <v>7.6473308381664121E-2</v>
      </c>
      <c r="D21" s="286">
        <f>D6*P5*2</f>
        <v>1.2275941228885785</v>
      </c>
      <c r="J21" s="163"/>
      <c r="K21" s="13">
        <f>K20*O6</f>
        <v>2.7311895850594327E-2</v>
      </c>
      <c r="L21" s="13">
        <f>L20*P6</f>
        <v>0.49103764915543141</v>
      </c>
    </row>
    <row r="22" spans="1:12" x14ac:dyDescent="0.2">
      <c r="A22" t="s">
        <v>481</v>
      </c>
      <c r="B22" s="163"/>
      <c r="C22" s="286">
        <f>R5*'Costo Materia Prima'!I83*2</f>
        <v>3.6480000000000001</v>
      </c>
      <c r="D22" s="286">
        <f>R5*'Costo Materia Prima'!I83*2</f>
        <v>3.6480000000000001</v>
      </c>
      <c r="I22" t="s">
        <v>481</v>
      </c>
      <c r="J22" s="163"/>
      <c r="K22" s="13">
        <f>R6*'Costo Materia Prima'!I83</f>
        <v>1.1400000000000001</v>
      </c>
      <c r="L22" s="13">
        <f>R6*'Costo Materia Prima'!I83</f>
        <v>1.1400000000000001</v>
      </c>
    </row>
    <row r="23" spans="1:12" x14ac:dyDescent="0.2">
      <c r="A23" t="s">
        <v>467</v>
      </c>
      <c r="B23" s="163">
        <v>2E-3</v>
      </c>
      <c r="C23" s="286">
        <f>8.12*B23*2</f>
        <v>3.2479999999999995E-2</v>
      </c>
      <c r="D23" s="286">
        <f>8.12*B23*2</f>
        <v>3.2479999999999995E-2</v>
      </c>
      <c r="I23" t="s">
        <v>467</v>
      </c>
      <c r="J23" s="163">
        <v>2E-3</v>
      </c>
      <c r="K23" s="289">
        <f>4.06*J23</f>
        <v>8.1199999999999987E-3</v>
      </c>
      <c r="L23" s="289">
        <f>4.06*J23</f>
        <v>8.1199999999999987E-3</v>
      </c>
    </row>
    <row r="24" spans="1:12" x14ac:dyDescent="0.2">
      <c r="A24" t="s">
        <v>813</v>
      </c>
      <c r="B24" s="163">
        <v>2</v>
      </c>
      <c r="C24" s="163">
        <v>16</v>
      </c>
      <c r="D24" s="163"/>
      <c r="I24" t="s">
        <v>813</v>
      </c>
      <c r="J24" s="163">
        <v>1</v>
      </c>
      <c r="K24" s="13">
        <v>4</v>
      </c>
      <c r="L24" s="13"/>
    </row>
    <row r="25" spans="1:12" x14ac:dyDescent="0.2">
      <c r="A25" t="s">
        <v>814</v>
      </c>
      <c r="B25" s="163">
        <v>2</v>
      </c>
      <c r="C25" s="163"/>
      <c r="D25" s="163">
        <v>17.600000000000001</v>
      </c>
      <c r="I25" t="s">
        <v>814</v>
      </c>
      <c r="J25" s="163">
        <v>1</v>
      </c>
      <c r="K25" s="13"/>
      <c r="L25" s="13">
        <v>4.4000000000000004</v>
      </c>
    </row>
    <row r="26" spans="1:12" ht="16" thickBot="1" x14ac:dyDescent="0.25">
      <c r="A26" s="98" t="s">
        <v>502</v>
      </c>
      <c r="B26" s="285"/>
      <c r="C26" s="288">
        <f>SUM(C18:C19,C21:C24)</f>
        <v>31.872881582692052</v>
      </c>
      <c r="D26" s="288">
        <f>SUM(D18:D19,D21:D25)</f>
        <v>37.372070142296351</v>
      </c>
      <c r="I26" s="98" t="s">
        <v>502</v>
      </c>
      <c r="J26" s="285"/>
      <c r="K26" s="288">
        <f>SUM(K18:K19,K21:K24)</f>
        <v>10.306930665440586</v>
      </c>
      <c r="L26" s="288">
        <f>SUM(L18:L19,L21:L24)</f>
        <v>8.2207970324457893</v>
      </c>
    </row>
    <row r="27" spans="1:12" ht="16" thickTop="1" x14ac:dyDescent="0.2">
      <c r="A27" t="s">
        <v>444</v>
      </c>
      <c r="C27" s="284">
        <f>'Insumos 3'!X33</f>
        <v>7.0242529230769222</v>
      </c>
    </row>
    <row r="28" spans="1:12" x14ac:dyDescent="0.2">
      <c r="A28" t="s">
        <v>818</v>
      </c>
      <c r="C28" s="126">
        <f>C26+D26+C27</f>
        <v>76.269204648065312</v>
      </c>
      <c r="E28" s="26"/>
      <c r="I28" t="s">
        <v>493</v>
      </c>
      <c r="K28" s="284">
        <f>'Insumos 3'!X25</f>
        <v>4.0969230769230762</v>
      </c>
    </row>
    <row r="29" spans="1:12" x14ac:dyDescent="0.2">
      <c r="C29" s="13">
        <v>178</v>
      </c>
      <c r="I29" s="290" t="s">
        <v>815</v>
      </c>
      <c r="K29" s="126">
        <f>K26+L26+K28</f>
        <v>22.624650774809453</v>
      </c>
    </row>
    <row r="30" spans="1:12" x14ac:dyDescent="0.2">
      <c r="C30" s="26">
        <f>C28/C29</f>
        <v>0.42847867779811971</v>
      </c>
      <c r="K30" s="13">
        <v>60</v>
      </c>
    </row>
    <row r="31" spans="1:12" x14ac:dyDescent="0.2">
      <c r="K31" s="26">
        <f>K29/K30</f>
        <v>0.3770775129134909</v>
      </c>
    </row>
  </sheetData>
  <mergeCells count="1">
    <mergeCell ref="O3:U3"/>
  </mergeCells>
  <pageMargins left="0.7" right="0.7" top="0.75" bottom="0.75" header="0.3" footer="0.3"/>
  <pageSetup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B6A445-C7FE-4204-9388-91B00A61E9C0}">
  <sheetPr codeName="Hoja30"/>
  <dimension ref="A2:U73"/>
  <sheetViews>
    <sheetView zoomScale="75" workbookViewId="0">
      <selection activeCell="S32" sqref="S32"/>
    </sheetView>
  </sheetViews>
  <sheetFormatPr baseColWidth="10" defaultColWidth="11.5" defaultRowHeight="15" x14ac:dyDescent="0.2"/>
  <cols>
    <col min="1" max="1" width="24.33203125" bestFit="1" customWidth="1"/>
    <col min="2" max="2" width="21.1640625" bestFit="1" customWidth="1"/>
    <col min="3" max="3" width="15.33203125" bestFit="1" customWidth="1"/>
    <col min="5" max="5" width="24.33203125" bestFit="1" customWidth="1"/>
    <col min="9" max="9" width="24.33203125" bestFit="1" customWidth="1"/>
    <col min="13" max="13" width="24.33203125" bestFit="1" customWidth="1"/>
    <col min="17" max="17" width="16.5" customWidth="1"/>
  </cols>
  <sheetData>
    <row r="2" spans="1:19" x14ac:dyDescent="0.2">
      <c r="A2" t="s">
        <v>591</v>
      </c>
      <c r="B2" s="5">
        <f>1800/5000</f>
        <v>0.36</v>
      </c>
    </row>
    <row r="4" spans="1:19" x14ac:dyDescent="0.2">
      <c r="A4" s="20" t="s">
        <v>419</v>
      </c>
      <c r="E4" s="20" t="s">
        <v>421</v>
      </c>
      <c r="I4" s="20" t="s">
        <v>180</v>
      </c>
      <c r="M4" s="20" t="s">
        <v>592</v>
      </c>
      <c r="Q4" s="20" t="s">
        <v>431</v>
      </c>
    </row>
    <row r="5" spans="1:19" x14ac:dyDescent="0.2">
      <c r="A5" s="1" t="s">
        <v>390</v>
      </c>
      <c r="B5" s="2">
        <v>1</v>
      </c>
      <c r="C5" s="82">
        <f>'Insumos 2'!AA114</f>
        <v>45.045365610831723</v>
      </c>
      <c r="E5" s="1" t="s">
        <v>564</v>
      </c>
      <c r="F5" s="2">
        <v>1</v>
      </c>
      <c r="G5" s="82">
        <f>'Insumos 2'!AA203</f>
        <v>50.883278042179924</v>
      </c>
      <c r="I5" s="1" t="s">
        <v>384</v>
      </c>
      <c r="J5" s="2">
        <v>1</v>
      </c>
      <c r="K5" s="82">
        <f>'Insumos 2'!AA58</f>
        <v>51.309843240093237</v>
      </c>
      <c r="M5" s="1" t="s">
        <v>390</v>
      </c>
      <c r="N5" s="2">
        <v>1</v>
      </c>
      <c r="O5" s="82">
        <f>'Insumos 2'!AA114</f>
        <v>45.045365610831723</v>
      </c>
      <c r="Q5" s="1" t="s">
        <v>394</v>
      </c>
      <c r="R5" s="2">
        <v>1</v>
      </c>
      <c r="S5" s="82">
        <f>'Insumos 2'!D155</f>
        <v>179.12141722200815</v>
      </c>
    </row>
    <row r="6" spans="1:19" x14ac:dyDescent="0.2">
      <c r="A6" s="1" t="s">
        <v>50</v>
      </c>
      <c r="B6" s="2">
        <v>7.0000000000000007E-2</v>
      </c>
      <c r="C6" s="82">
        <f>'Costo Materia Prima'!I18*B6</f>
        <v>6.3072533413425447</v>
      </c>
      <c r="E6" s="1" t="s">
        <v>593</v>
      </c>
      <c r="F6" s="2">
        <v>2</v>
      </c>
      <c r="G6" s="82">
        <f>F6*3.31347826086</f>
        <v>6.6269565217200004</v>
      </c>
      <c r="I6" s="1" t="s">
        <v>594</v>
      </c>
      <c r="J6" s="2">
        <v>0.71</v>
      </c>
      <c r="K6" s="82">
        <f>J6*'Insumos 1'!G23</f>
        <v>83.461020099735762</v>
      </c>
      <c r="M6" s="1" t="s">
        <v>592</v>
      </c>
      <c r="N6" s="2">
        <v>0.32500000000000001</v>
      </c>
      <c r="O6" s="82">
        <f>N6*'Costo Materia Prima'!I83</f>
        <v>37.050000000000004</v>
      </c>
      <c r="Q6" s="1"/>
      <c r="R6" s="2"/>
      <c r="S6" s="82">
        <f>R6*'Costo Materia Prima'!M83</f>
        <v>0</v>
      </c>
    </row>
    <row r="7" spans="1:19" x14ac:dyDescent="0.2">
      <c r="A7" s="1" t="s">
        <v>345</v>
      </c>
      <c r="B7" s="2">
        <v>0.13</v>
      </c>
      <c r="C7" s="82">
        <f>B7*'Insumos 1'!G13</f>
        <v>12.044049778347643</v>
      </c>
      <c r="E7" s="1" t="s">
        <v>556</v>
      </c>
      <c r="F7" s="2">
        <v>0.1</v>
      </c>
      <c r="G7" s="82">
        <f>F7*'Insumos 1'!G32</f>
        <v>3.951470014552696</v>
      </c>
      <c r="I7" s="1" t="s">
        <v>765</v>
      </c>
      <c r="J7" s="2">
        <v>0.15</v>
      </c>
      <c r="K7" s="82">
        <f>J7*'Costo Materia Prima'!I82</f>
        <v>8.5780499999999993</v>
      </c>
      <c r="M7" s="1" t="s">
        <v>128</v>
      </c>
      <c r="N7" s="2">
        <v>0.03</v>
      </c>
      <c r="O7" s="82">
        <f>N7*'Costo Materia Prima'!I56</f>
        <v>7.68</v>
      </c>
      <c r="Q7" s="1"/>
      <c r="R7" s="2"/>
      <c r="S7" s="82"/>
    </row>
    <row r="8" spans="1:19" x14ac:dyDescent="0.2">
      <c r="A8" s="1" t="s">
        <v>556</v>
      </c>
      <c r="B8" s="249">
        <v>0.1</v>
      </c>
      <c r="C8" s="82">
        <f>B8*'Insumos 1'!G32</f>
        <v>3.951470014552696</v>
      </c>
      <c r="E8" s="1" t="s">
        <v>421</v>
      </c>
      <c r="F8" s="2">
        <v>0.13500000000000001</v>
      </c>
      <c r="G8" s="82">
        <f>F8*'Insumos 1'!G64</f>
        <v>14.690630309426099</v>
      </c>
      <c r="I8" s="1" t="s">
        <v>657</v>
      </c>
      <c r="J8" s="2">
        <v>0.03</v>
      </c>
      <c r="K8" s="82">
        <f>J8*'Insumos 2'!G209</f>
        <v>3.0679318755980849</v>
      </c>
      <c r="M8" s="1" t="s">
        <v>765</v>
      </c>
      <c r="N8" s="2">
        <v>0.05</v>
      </c>
      <c r="O8" s="82">
        <f>N8*'Costo Materia Prima'!I82</f>
        <v>2.8593500000000001</v>
      </c>
      <c r="Q8" s="1"/>
      <c r="R8" s="2"/>
      <c r="S8" s="82">
        <v>0</v>
      </c>
    </row>
    <row r="9" spans="1:19" x14ac:dyDescent="0.2">
      <c r="A9" s="83" t="s">
        <v>429</v>
      </c>
      <c r="B9" s="84">
        <v>0.41</v>
      </c>
      <c r="C9" s="79">
        <f>B9*'Insumos 1'!G81</f>
        <v>26.990269435037234</v>
      </c>
      <c r="E9" s="1" t="s">
        <v>429</v>
      </c>
      <c r="F9" s="2">
        <v>0.51400000000000001</v>
      </c>
      <c r="G9" s="82">
        <f>F9*'Insumos 1'!G81</f>
        <v>33.836581681973513</v>
      </c>
      <c r="I9" s="1"/>
      <c r="J9" s="2"/>
      <c r="K9" s="82">
        <f>J9*'Insumos 1'!G81</f>
        <v>0</v>
      </c>
      <c r="M9" s="1" t="s">
        <v>429</v>
      </c>
      <c r="N9" s="2">
        <v>0.5</v>
      </c>
      <c r="O9" s="82">
        <f>N9*'Insumos 1'!G81</f>
        <v>32.914962725655165</v>
      </c>
      <c r="Q9" s="1"/>
      <c r="R9" s="2"/>
      <c r="S9" s="82">
        <f>R9*'Insumos 1'!K81</f>
        <v>0</v>
      </c>
    </row>
    <row r="10" spans="1:19" x14ac:dyDescent="0.2">
      <c r="A10" s="1" t="s">
        <v>595</v>
      </c>
      <c r="B10" s="2">
        <v>6</v>
      </c>
      <c r="C10" s="85">
        <f>B10*B2</f>
        <v>2.16</v>
      </c>
      <c r="E10" s="1" t="s">
        <v>595</v>
      </c>
      <c r="F10" s="2">
        <v>6</v>
      </c>
      <c r="G10" s="85">
        <f>F10*B2</f>
        <v>2.16</v>
      </c>
      <c r="I10" s="1" t="s">
        <v>595</v>
      </c>
      <c r="J10" s="2">
        <v>6</v>
      </c>
      <c r="K10" s="85">
        <f>J10*B2</f>
        <v>2.16</v>
      </c>
      <c r="M10" s="1" t="s">
        <v>595</v>
      </c>
      <c r="N10" s="2">
        <v>6</v>
      </c>
      <c r="O10" s="85">
        <f>N10*$B$2</f>
        <v>2.16</v>
      </c>
      <c r="Q10" s="1" t="s">
        <v>595</v>
      </c>
      <c r="R10" s="2">
        <v>6</v>
      </c>
      <c r="S10" s="85">
        <f>R10*$B$2</f>
        <v>2.16</v>
      </c>
    </row>
    <row r="11" spans="1:19" x14ac:dyDescent="0.2">
      <c r="A11" s="1" t="s">
        <v>763</v>
      </c>
      <c r="B11" s="2">
        <v>8.0000000000000002E-3</v>
      </c>
      <c r="C11" s="250">
        <f>B11*'Insumos 1'!G71</f>
        <v>9.7875805094826615E-2</v>
      </c>
      <c r="E11" s="1" t="s">
        <v>765</v>
      </c>
      <c r="F11" s="2">
        <v>0.05</v>
      </c>
      <c r="G11" s="82">
        <f>F11*'Costo Materia Prima'!I82</f>
        <v>2.8593500000000001</v>
      </c>
    </row>
    <row r="12" spans="1:19" x14ac:dyDescent="0.2">
      <c r="A12" s="1" t="s">
        <v>765</v>
      </c>
      <c r="B12" s="2">
        <v>0.05</v>
      </c>
      <c r="C12" s="82">
        <f>B12*'Costo Materia Prima'!I82</f>
        <v>2.8593500000000001</v>
      </c>
    </row>
    <row r="14" spans="1:19" x14ac:dyDescent="0.2">
      <c r="A14" s="1" t="str">
        <f>'Insumos 3'!E4</f>
        <v>Domo Mediano C105</v>
      </c>
      <c r="B14" s="2">
        <v>1</v>
      </c>
      <c r="C14" s="82">
        <f>VLOOKUP(A14,'Costo Materia Prima'!$D$3:$I$234,6,FALSE)*B14</f>
        <v>14.612399999999999</v>
      </c>
      <c r="E14" s="1" t="str">
        <f>A14</f>
        <v>Domo Mediano C105</v>
      </c>
      <c r="F14" s="2">
        <v>1</v>
      </c>
      <c r="G14" s="82">
        <f>VLOOKUP(E14,'Costo Materia Prima'!$D$3:$I$234,6,FALSE)*F14</f>
        <v>14.612399999999999</v>
      </c>
      <c r="I14" s="1" t="str">
        <f>A14</f>
        <v>Domo Mediano C105</v>
      </c>
      <c r="J14" s="2">
        <v>1</v>
      </c>
      <c r="K14" s="82">
        <f>VLOOKUP(I14,'Costo Materia Prima'!$D$3:$I$234,6,FALSE)*J14</f>
        <v>14.612399999999999</v>
      </c>
      <c r="M14" s="1" t="str">
        <f>A14</f>
        <v>Domo Mediano C105</v>
      </c>
      <c r="N14" s="2">
        <v>1</v>
      </c>
      <c r="O14" s="82">
        <f>VLOOKUP(M14,'Costo Materia Prima'!$D$3:$I$234,6,FALSE)*N14</f>
        <v>14.612399999999999</v>
      </c>
      <c r="Q14" s="1" t="str">
        <f>E14</f>
        <v>Domo Mediano C105</v>
      </c>
      <c r="R14" s="2">
        <v>1</v>
      </c>
      <c r="S14" s="82">
        <f>VLOOKUP(Q14,'Costo Materia Prima'!$D$3:$I$234,6,FALSE)*R14</f>
        <v>14.612399999999999</v>
      </c>
    </row>
    <row r="15" spans="1:19" x14ac:dyDescent="0.2">
      <c r="A15" s="83" t="s">
        <v>167</v>
      </c>
      <c r="B15" s="84">
        <v>1</v>
      </c>
      <c r="C15" s="82">
        <f>VLOOKUP(A15,'Costo Materia Prima'!$D$3:$I$234,6,FALSE)*B15</f>
        <v>0.42919999999999997</v>
      </c>
      <c r="E15" s="83" t="s">
        <v>167</v>
      </c>
      <c r="F15" s="84">
        <v>1</v>
      </c>
      <c r="G15" s="82">
        <f>VLOOKUP(E15,'Costo Materia Prima'!$D$3:$I$234,6,FALSE)*F15</f>
        <v>0.42919999999999997</v>
      </c>
      <c r="I15" s="83" t="s">
        <v>167</v>
      </c>
      <c r="J15" s="84">
        <v>1</v>
      </c>
      <c r="K15" s="82">
        <f>VLOOKUP(I15,'Costo Materia Prima'!$D$3:$I$234,6,FALSE)*J15</f>
        <v>0.42919999999999997</v>
      </c>
      <c r="M15" s="83" t="s">
        <v>167</v>
      </c>
      <c r="N15" s="84">
        <v>1</v>
      </c>
      <c r="O15" s="82">
        <f>VLOOKUP(M15,'Costo Materia Prima'!$D$3:$I$234,6,FALSE)*N15</f>
        <v>0.42919999999999997</v>
      </c>
      <c r="Q15" s="83" t="s">
        <v>167</v>
      </c>
      <c r="R15" s="84">
        <v>1</v>
      </c>
      <c r="S15" s="82">
        <f>VLOOKUP(Q15,'Costo Materia Prima'!$D$3:$I$234,6,FALSE)*R15</f>
        <v>0.42919999999999997</v>
      </c>
    </row>
    <row r="16" spans="1:19" x14ac:dyDescent="0.2">
      <c r="A16" s="1" t="s">
        <v>169</v>
      </c>
      <c r="B16" s="2">
        <v>1</v>
      </c>
      <c r="C16" s="82">
        <f>VLOOKUP(A16,'Costo Materia Prima'!$D$3:$I$234,6,FALSE)*B16</f>
        <v>0.55679999999999996</v>
      </c>
      <c r="E16" s="1" t="s">
        <v>169</v>
      </c>
      <c r="F16" s="2">
        <v>1</v>
      </c>
      <c r="G16" s="82">
        <f>VLOOKUP(E16,'Costo Materia Prima'!$D$3:$I$234,6,FALSE)*F16</f>
        <v>0.55679999999999996</v>
      </c>
      <c r="I16" s="1" t="s">
        <v>169</v>
      </c>
      <c r="J16" s="2">
        <v>1</v>
      </c>
      <c r="K16" s="82">
        <f>VLOOKUP(I16,'Costo Materia Prima'!$D$3:$I$234,6,FALSE)*J16</f>
        <v>0.55679999999999996</v>
      </c>
      <c r="M16" s="1" t="s">
        <v>169</v>
      </c>
      <c r="N16" s="2">
        <v>1</v>
      </c>
      <c r="O16" s="82">
        <f>VLOOKUP(M16,'Costo Materia Prima'!$D$3:$I$234,6,FALSE)*N16</f>
        <v>0.55679999999999996</v>
      </c>
      <c r="Q16" s="1" t="s">
        <v>169</v>
      </c>
      <c r="R16" s="2">
        <v>1</v>
      </c>
      <c r="S16" s="82">
        <f>VLOOKUP(Q16,'Costo Materia Prima'!$D$3:$I$234,6,FALSE)*R16</f>
        <v>0.55679999999999996</v>
      </c>
    </row>
    <row r="17" spans="1:19" x14ac:dyDescent="0.2">
      <c r="C17" s="13">
        <f>SUM(C14:C16)</f>
        <v>15.598399999999998</v>
      </c>
    </row>
    <row r="19" spans="1:19" x14ac:dyDescent="0.2">
      <c r="A19" t="s">
        <v>766</v>
      </c>
    </row>
    <row r="20" spans="1:19" x14ac:dyDescent="0.2">
      <c r="A20" t="s">
        <v>469</v>
      </c>
      <c r="B20" s="13">
        <f>'Insumos 1'!G15</f>
        <v>1.092475834023773</v>
      </c>
      <c r="C20" s="13">
        <f>B7*B20</f>
        <v>0.14202185842309051</v>
      </c>
      <c r="G20" s="13">
        <f>F7*F20</f>
        <v>0</v>
      </c>
      <c r="K20" s="13">
        <f>J7*J20</f>
        <v>0</v>
      </c>
      <c r="O20" s="13">
        <f>N7*N20</f>
        <v>0</v>
      </c>
    </row>
    <row r="21" spans="1:19" x14ac:dyDescent="0.2">
      <c r="A21" t="s">
        <v>767</v>
      </c>
      <c r="B21" s="13">
        <f>'Insumos 1'!G34</f>
        <v>0.39050179899691345</v>
      </c>
      <c r="C21" s="13">
        <f>B21*B8</f>
        <v>3.9050179899691347E-2</v>
      </c>
      <c r="G21" s="13">
        <f>B21*F7</f>
        <v>3.9050179899691347E-2</v>
      </c>
      <c r="K21" s="13">
        <f>J21*J8</f>
        <v>0</v>
      </c>
      <c r="O21" s="13">
        <f>N21*N8</f>
        <v>0</v>
      </c>
    </row>
    <row r="22" spans="1:19" x14ac:dyDescent="0.2">
      <c r="A22" t="s">
        <v>555</v>
      </c>
      <c r="B22" s="13">
        <f>'Insumos 2'!G116</f>
        <v>3.8274538248756849</v>
      </c>
      <c r="C22" s="13">
        <f>B22*B5</f>
        <v>3.8274538248756849</v>
      </c>
      <c r="G22" s="13">
        <f>F22*F5</f>
        <v>0</v>
      </c>
      <c r="K22" s="13">
        <f>J22*J5</f>
        <v>0</v>
      </c>
      <c r="O22" s="13">
        <f>B22*N5</f>
        <v>3.8274538248756849</v>
      </c>
    </row>
    <row r="23" spans="1:19" x14ac:dyDescent="0.2">
      <c r="A23" t="s">
        <v>429</v>
      </c>
      <c r="B23" s="13">
        <f>'Insumos 1'!G83</f>
        <v>1.2667042069756584</v>
      </c>
      <c r="C23" s="13">
        <f>B23*B9</f>
        <v>0.51934872486001993</v>
      </c>
      <c r="G23" s="13">
        <f>B23*F9</f>
        <v>0.65108596238548844</v>
      </c>
      <c r="K23" s="13">
        <f>J23*J9</f>
        <v>0</v>
      </c>
      <c r="O23" s="13">
        <f>B23*N9</f>
        <v>0.63335210348782922</v>
      </c>
    </row>
    <row r="24" spans="1:19" x14ac:dyDescent="0.2">
      <c r="A24" t="s">
        <v>558</v>
      </c>
      <c r="B24" s="13">
        <f>'Insumos 2'!G60</f>
        <v>4.8738965542138191</v>
      </c>
      <c r="K24" s="13">
        <f>B24*J5</f>
        <v>4.8738965542138191</v>
      </c>
    </row>
    <row r="25" spans="1:19" x14ac:dyDescent="0.2">
      <c r="A25" t="s">
        <v>554</v>
      </c>
      <c r="B25" s="13">
        <f>'Insumos 2'!G205</f>
        <v>5.3333104353866583</v>
      </c>
      <c r="G25" s="13">
        <f>B24*F5</f>
        <v>4.8738965542138191</v>
      </c>
    </row>
    <row r="26" spans="1:19" x14ac:dyDescent="0.2">
      <c r="A26" t="s">
        <v>768</v>
      </c>
      <c r="B26" s="13">
        <f>'Insumos 1'!G25</f>
        <v>1.3576286049497877</v>
      </c>
      <c r="K26" s="13">
        <f>B26*J6</f>
        <v>0.96391630951434915</v>
      </c>
    </row>
    <row r="27" spans="1:19" x14ac:dyDescent="0.2">
      <c r="A27" t="s">
        <v>500</v>
      </c>
      <c r="B27" s="13">
        <f>'Insumos 1'!G66</f>
        <v>1.9249184965342434</v>
      </c>
      <c r="G27" s="13">
        <f>B27*F8</f>
        <v>0.25986399703212287</v>
      </c>
    </row>
    <row r="28" spans="1:19" x14ac:dyDescent="0.2">
      <c r="A28" t="s">
        <v>657</v>
      </c>
      <c r="B28" s="13">
        <v>0.6</v>
      </c>
      <c r="G28" s="13"/>
      <c r="K28" s="13">
        <f>B28*J8</f>
        <v>1.7999999999999999E-2</v>
      </c>
    </row>
    <row r="29" spans="1:19" x14ac:dyDescent="0.2">
      <c r="A29" t="s">
        <v>761</v>
      </c>
      <c r="B29" s="13">
        <v>5.4</v>
      </c>
      <c r="C29" s="13">
        <f>B29</f>
        <v>5.4</v>
      </c>
      <c r="G29" s="13">
        <f>B29</f>
        <v>5.4</v>
      </c>
      <c r="K29" s="13">
        <f>B29</f>
        <v>5.4</v>
      </c>
      <c r="O29" s="13">
        <f>B29</f>
        <v>5.4</v>
      </c>
    </row>
    <row r="31" spans="1:19" x14ac:dyDescent="0.2">
      <c r="C31" t="s">
        <v>427</v>
      </c>
      <c r="G31" t="s">
        <v>421</v>
      </c>
      <c r="K31" t="s">
        <v>180</v>
      </c>
      <c r="O31" t="s">
        <v>188</v>
      </c>
    </row>
    <row r="32" spans="1:19" x14ac:dyDescent="0.2">
      <c r="A32" s="80" t="s">
        <v>596</v>
      </c>
      <c r="C32" s="13">
        <f>SUM(C5:C12,C14:C16)</f>
        <v>115.05403398520666</v>
      </c>
      <c r="E32" s="80" t="s">
        <v>596</v>
      </c>
      <c r="G32" s="13">
        <f>SUM(G5:G12,G14:G16)</f>
        <v>130.60666656985225</v>
      </c>
      <c r="I32" s="80" t="s">
        <v>596</v>
      </c>
      <c r="K32" s="13">
        <f>SUM(K5:K12,K14:K16)</f>
        <v>164.17524521542708</v>
      </c>
      <c r="M32" s="80" t="s">
        <v>596</v>
      </c>
      <c r="O32" s="13">
        <f>SUM(O5:O12,O14:O16)</f>
        <v>143.30807833648691</v>
      </c>
      <c r="Q32" s="80" t="s">
        <v>596</v>
      </c>
      <c r="S32" s="13">
        <f>SUM(S5:S12,S14:S16)</f>
        <v>196.87981722200817</v>
      </c>
    </row>
    <row r="34" spans="1:21" x14ac:dyDescent="0.2">
      <c r="A34" t="s">
        <v>597</v>
      </c>
      <c r="C34">
        <v>290</v>
      </c>
      <c r="E34" t="s">
        <v>597</v>
      </c>
      <c r="G34">
        <v>175</v>
      </c>
      <c r="I34" t="s">
        <v>597</v>
      </c>
      <c r="K34">
        <v>129</v>
      </c>
      <c r="M34" t="s">
        <v>597</v>
      </c>
      <c r="O34">
        <v>173</v>
      </c>
      <c r="Q34" t="s">
        <v>597</v>
      </c>
      <c r="S34">
        <v>0</v>
      </c>
      <c r="U34">
        <f>SUM(O34,K34,G34,C34)</f>
        <v>767</v>
      </c>
    </row>
    <row r="36" spans="1:21" x14ac:dyDescent="0.2">
      <c r="A36" t="s">
        <v>764</v>
      </c>
      <c r="B36" s="26">
        <v>0.35</v>
      </c>
      <c r="C36" s="13">
        <f>C32/$B$36</f>
        <v>328.72581138630477</v>
      </c>
      <c r="G36" s="13">
        <f>G32/$B$36</f>
        <v>373.16190448529215</v>
      </c>
      <c r="K36" s="13">
        <f>K32/$B$36</f>
        <v>469.07212918693455</v>
      </c>
      <c r="O36" s="13">
        <f>O32/$B$36</f>
        <v>409.45165238996265</v>
      </c>
      <c r="Q36" s="13">
        <f>AVERAGE(C36,G36,K36,O36)</f>
        <v>395.10287436212354</v>
      </c>
    </row>
    <row r="37" spans="1:21" x14ac:dyDescent="0.2">
      <c r="A37" t="s">
        <v>764</v>
      </c>
      <c r="B37" s="51">
        <v>0.4</v>
      </c>
      <c r="C37" s="13">
        <f>C32/$B$37</f>
        <v>287.63508496301665</v>
      </c>
      <c r="G37" s="13">
        <f>G32/$B$37</f>
        <v>326.51666642463061</v>
      </c>
      <c r="K37" s="13">
        <f>K32/$B$37</f>
        <v>410.43811303856768</v>
      </c>
      <c r="O37" s="13">
        <f>O32/$B$37</f>
        <v>358.27019584121729</v>
      </c>
      <c r="Q37" s="13">
        <f>AVERAGE(C37,G37,K37,O37)</f>
        <v>345.71501506685809</v>
      </c>
    </row>
    <row r="38" spans="1:21" x14ac:dyDescent="0.2">
      <c r="A38" t="s">
        <v>764</v>
      </c>
      <c r="B38" s="51">
        <v>0.45</v>
      </c>
      <c r="C38" s="13">
        <f>C32/$B$38</f>
        <v>255.67563107823702</v>
      </c>
      <c r="G38" s="13">
        <f>G32/$B$38</f>
        <v>290.23703682189387</v>
      </c>
      <c r="K38" s="13">
        <f>K32/$B$38</f>
        <v>364.83387825650465</v>
      </c>
      <c r="O38" s="13">
        <f>O32/$B$38</f>
        <v>318.46239630330427</v>
      </c>
      <c r="Q38" s="13">
        <f>AVERAGE(C38,G38,K38,O38)</f>
        <v>307.30223561498497</v>
      </c>
    </row>
    <row r="39" spans="1:21" x14ac:dyDescent="0.2">
      <c r="A39" t="s">
        <v>526</v>
      </c>
      <c r="B39" s="51"/>
      <c r="C39" s="13">
        <v>370</v>
      </c>
      <c r="G39" s="13">
        <v>370</v>
      </c>
      <c r="K39" s="13">
        <v>380</v>
      </c>
      <c r="O39" s="13">
        <v>380</v>
      </c>
      <c r="Q39" s="13"/>
    </row>
    <row r="40" spans="1:21" x14ac:dyDescent="0.2">
      <c r="B40" s="51"/>
      <c r="C40" s="13"/>
      <c r="G40" s="13"/>
      <c r="K40" s="13"/>
      <c r="O40" s="13"/>
      <c r="Q40" s="13"/>
    </row>
    <row r="42" spans="1:21" ht="16" x14ac:dyDescent="0.2">
      <c r="A42" s="327">
        <v>2025</v>
      </c>
      <c r="B42" s="327"/>
      <c r="C42" s="327"/>
      <c r="D42" s="327"/>
      <c r="E42" s="327"/>
      <c r="F42" s="327"/>
      <c r="G42" s="327"/>
    </row>
    <row r="43" spans="1:21" x14ac:dyDescent="0.2">
      <c r="A43" s="20" t="s">
        <v>769</v>
      </c>
      <c r="B43" s="20" t="s">
        <v>2</v>
      </c>
      <c r="C43" s="20" t="s">
        <v>4</v>
      </c>
      <c r="D43" s="20" t="s">
        <v>666</v>
      </c>
      <c r="E43" s="20" t="s">
        <v>756</v>
      </c>
      <c r="F43" s="20" t="s">
        <v>770</v>
      </c>
      <c r="G43" s="20" t="s">
        <v>771</v>
      </c>
    </row>
    <row r="44" spans="1:21" x14ac:dyDescent="0.2">
      <c r="A44">
        <v>624</v>
      </c>
      <c r="B44" t="s">
        <v>772</v>
      </c>
      <c r="C44">
        <v>110</v>
      </c>
      <c r="D44" s="251">
        <v>25190</v>
      </c>
      <c r="E44" s="251">
        <v>12815</v>
      </c>
      <c r="F44" s="251">
        <v>0</v>
      </c>
      <c r="G44" s="251">
        <v>12815</v>
      </c>
      <c r="H44" s="251">
        <f>G44/C44</f>
        <v>116.5</v>
      </c>
      <c r="I44" s="251"/>
      <c r="J44">
        <f>SUM(C44:C49)</f>
        <v>1143</v>
      </c>
      <c r="K44">
        <v>1298</v>
      </c>
      <c r="L44">
        <f>K44-J44</f>
        <v>155</v>
      </c>
    </row>
    <row r="45" spans="1:21" x14ac:dyDescent="0.2">
      <c r="A45">
        <v>623</v>
      </c>
      <c r="B45" t="s">
        <v>773</v>
      </c>
      <c r="C45">
        <v>106</v>
      </c>
      <c r="D45" s="251">
        <v>4510</v>
      </c>
      <c r="E45" s="251">
        <v>35145</v>
      </c>
      <c r="F45" s="251">
        <v>0</v>
      </c>
      <c r="G45" s="251">
        <v>35145</v>
      </c>
      <c r="H45" s="251">
        <f t="shared" ref="H45:H49" si="0">G45/C45</f>
        <v>331.55660377358492</v>
      </c>
    </row>
    <row r="46" spans="1:21" x14ac:dyDescent="0.2">
      <c r="A46">
        <v>621</v>
      </c>
      <c r="B46" t="s">
        <v>774</v>
      </c>
      <c r="C46">
        <v>230</v>
      </c>
      <c r="D46" s="251">
        <v>8800</v>
      </c>
      <c r="E46" s="251">
        <v>76835</v>
      </c>
      <c r="F46" s="251">
        <v>0</v>
      </c>
      <c r="G46" s="251">
        <v>76835</v>
      </c>
      <c r="H46" s="251">
        <f t="shared" si="0"/>
        <v>334.06521739130437</v>
      </c>
    </row>
    <row r="47" spans="1:21" x14ac:dyDescent="0.2">
      <c r="A47">
        <v>620</v>
      </c>
      <c r="B47" t="s">
        <v>775</v>
      </c>
      <c r="C47">
        <v>215</v>
      </c>
      <c r="D47" s="251">
        <v>35310</v>
      </c>
      <c r="E47" s="251">
        <v>40810</v>
      </c>
      <c r="F47" s="251">
        <v>0</v>
      </c>
      <c r="G47" s="251">
        <v>40810</v>
      </c>
      <c r="H47" s="251">
        <f t="shared" si="0"/>
        <v>189.81395348837211</v>
      </c>
    </row>
    <row r="48" spans="1:21" x14ac:dyDescent="0.2">
      <c r="A48">
        <v>622</v>
      </c>
      <c r="B48" t="s">
        <v>776</v>
      </c>
      <c r="C48">
        <v>427</v>
      </c>
      <c r="D48" s="251">
        <v>39980</v>
      </c>
      <c r="E48" s="251">
        <v>115945</v>
      </c>
      <c r="F48" s="251">
        <v>0</v>
      </c>
      <c r="G48" s="251">
        <v>115945</v>
      </c>
      <c r="H48" s="251">
        <f t="shared" si="0"/>
        <v>271.53395784543324</v>
      </c>
    </row>
    <row r="49" spans="1:8" x14ac:dyDescent="0.2">
      <c r="A49">
        <v>625</v>
      </c>
      <c r="B49" t="s">
        <v>777</v>
      </c>
      <c r="C49">
        <v>55</v>
      </c>
      <c r="D49" s="251">
        <v>2980</v>
      </c>
      <c r="E49" s="251">
        <v>19770</v>
      </c>
      <c r="F49" s="251">
        <v>0</v>
      </c>
      <c r="G49" s="251">
        <v>17043.099999999999</v>
      </c>
      <c r="H49" s="251">
        <f t="shared" si="0"/>
        <v>309.87454545454545</v>
      </c>
    </row>
    <row r="51" spans="1:8" ht="16" x14ac:dyDescent="0.2">
      <c r="A51" s="327">
        <v>2024</v>
      </c>
      <c r="B51" s="327"/>
      <c r="C51" s="327"/>
      <c r="D51" s="327"/>
      <c r="E51" s="327"/>
      <c r="F51" s="327"/>
      <c r="G51" s="327"/>
    </row>
    <row r="52" spans="1:8" x14ac:dyDescent="0.2">
      <c r="A52" s="20" t="s">
        <v>769</v>
      </c>
      <c r="B52" s="20" t="s">
        <v>2</v>
      </c>
      <c r="C52" s="20" t="s">
        <v>4</v>
      </c>
      <c r="D52" s="20" t="s">
        <v>666</v>
      </c>
      <c r="E52" s="20" t="s">
        <v>756</v>
      </c>
      <c r="F52" s="20" t="s">
        <v>770</v>
      </c>
      <c r="G52" s="20" t="s">
        <v>771</v>
      </c>
    </row>
    <row r="53" spans="1:8" x14ac:dyDescent="0.2">
      <c r="A53">
        <v>624</v>
      </c>
      <c r="B53" t="s">
        <v>772</v>
      </c>
      <c r="C53">
        <v>50</v>
      </c>
      <c r="D53" s="251">
        <v>0</v>
      </c>
      <c r="E53" s="251">
        <v>18500</v>
      </c>
      <c r="F53" s="251">
        <v>0</v>
      </c>
      <c r="G53" s="251">
        <v>18500</v>
      </c>
    </row>
    <row r="54" spans="1:8" x14ac:dyDescent="0.2">
      <c r="A54">
        <v>623</v>
      </c>
      <c r="B54" t="s">
        <v>773</v>
      </c>
      <c r="C54">
        <v>92</v>
      </c>
      <c r="D54" s="251">
        <v>0</v>
      </c>
      <c r="E54" s="251">
        <v>34040</v>
      </c>
      <c r="F54" s="251">
        <v>0</v>
      </c>
      <c r="G54" s="251">
        <v>34040</v>
      </c>
    </row>
    <row r="55" spans="1:8" x14ac:dyDescent="0.2">
      <c r="A55">
        <v>621</v>
      </c>
      <c r="B55" t="s">
        <v>774</v>
      </c>
      <c r="C55">
        <v>143</v>
      </c>
      <c r="D55" s="251">
        <v>1110</v>
      </c>
      <c r="E55" s="251">
        <v>51800</v>
      </c>
      <c r="F55" s="251">
        <v>0</v>
      </c>
      <c r="G55" s="251">
        <v>51800</v>
      </c>
    </row>
    <row r="56" spans="1:8" x14ac:dyDescent="0.2">
      <c r="A56">
        <v>620</v>
      </c>
      <c r="B56" t="s">
        <v>775</v>
      </c>
      <c r="C56">
        <v>122</v>
      </c>
      <c r="D56" s="251">
        <v>740</v>
      </c>
      <c r="E56" s="251">
        <v>44400</v>
      </c>
      <c r="F56" s="251">
        <v>0</v>
      </c>
      <c r="G56" s="251">
        <v>44400</v>
      </c>
    </row>
    <row r="57" spans="1:8" x14ac:dyDescent="0.2">
      <c r="A57">
        <v>622</v>
      </c>
      <c r="B57" t="s">
        <v>776</v>
      </c>
      <c r="C57">
        <v>365</v>
      </c>
      <c r="D57" s="251">
        <v>370</v>
      </c>
      <c r="E57" s="251">
        <v>134680</v>
      </c>
      <c r="F57" s="251">
        <v>0</v>
      </c>
      <c r="G57" s="251">
        <v>134680</v>
      </c>
    </row>
    <row r="58" spans="1:8" x14ac:dyDescent="0.2">
      <c r="D58" s="251"/>
      <c r="E58" s="251"/>
      <c r="F58" s="251"/>
      <c r="G58" s="251"/>
    </row>
    <row r="59" spans="1:8" ht="16" x14ac:dyDescent="0.2">
      <c r="A59" s="327">
        <v>2023</v>
      </c>
      <c r="B59" s="327"/>
      <c r="C59" s="327"/>
      <c r="D59" s="327"/>
      <c r="E59" s="327"/>
      <c r="F59" s="327"/>
      <c r="G59" s="327"/>
    </row>
    <row r="60" spans="1:8" x14ac:dyDescent="0.2">
      <c r="A60" s="20" t="s">
        <v>769</v>
      </c>
      <c r="B60" s="20" t="s">
        <v>2</v>
      </c>
      <c r="C60" s="20" t="s">
        <v>4</v>
      </c>
      <c r="D60" s="20" t="s">
        <v>666</v>
      </c>
      <c r="E60" s="20" t="s">
        <v>756</v>
      </c>
      <c r="F60" s="20" t="s">
        <v>770</v>
      </c>
      <c r="G60" s="20" t="s">
        <v>771</v>
      </c>
    </row>
    <row r="61" spans="1:8" x14ac:dyDescent="0.2">
      <c r="A61">
        <v>623</v>
      </c>
      <c r="B61" t="s">
        <v>773</v>
      </c>
      <c r="C61">
        <v>65</v>
      </c>
      <c r="D61" s="251">
        <v>0</v>
      </c>
      <c r="E61" s="251">
        <v>24050</v>
      </c>
      <c r="F61" s="251">
        <v>0</v>
      </c>
      <c r="G61" s="251">
        <v>24050</v>
      </c>
    </row>
    <row r="62" spans="1:8" x14ac:dyDescent="0.2">
      <c r="A62">
        <v>621</v>
      </c>
      <c r="B62" t="s">
        <v>774</v>
      </c>
      <c r="C62">
        <v>123</v>
      </c>
      <c r="D62" s="251">
        <v>860</v>
      </c>
      <c r="E62" s="251">
        <v>44650</v>
      </c>
      <c r="F62" s="251">
        <v>0</v>
      </c>
      <c r="G62" s="251">
        <v>44650</v>
      </c>
    </row>
    <row r="63" spans="1:8" x14ac:dyDescent="0.2">
      <c r="A63">
        <v>620</v>
      </c>
      <c r="B63" t="s">
        <v>775</v>
      </c>
      <c r="C63">
        <v>71</v>
      </c>
      <c r="D63" s="251">
        <v>240</v>
      </c>
      <c r="E63" s="251">
        <v>26030</v>
      </c>
      <c r="F63" s="251">
        <v>0</v>
      </c>
      <c r="G63" s="251">
        <v>26030</v>
      </c>
    </row>
    <row r="64" spans="1:8" x14ac:dyDescent="0.2">
      <c r="A64">
        <v>622</v>
      </c>
      <c r="B64" t="s">
        <v>776</v>
      </c>
      <c r="C64">
        <v>171</v>
      </c>
      <c r="D64" s="251">
        <v>1920</v>
      </c>
      <c r="E64" s="251">
        <v>61350</v>
      </c>
      <c r="F64" s="251">
        <v>0</v>
      </c>
      <c r="G64" s="251">
        <v>61350</v>
      </c>
    </row>
    <row r="66" spans="1:7" ht="16" x14ac:dyDescent="0.2">
      <c r="A66" s="327">
        <v>2022</v>
      </c>
      <c r="B66" s="327"/>
      <c r="C66" s="327"/>
      <c r="D66" s="327"/>
      <c r="E66" s="327"/>
      <c r="F66" s="327"/>
      <c r="G66" s="327"/>
    </row>
    <row r="67" spans="1:7" x14ac:dyDescent="0.2">
      <c r="A67" s="20" t="s">
        <v>769</v>
      </c>
      <c r="B67" s="20" t="s">
        <v>2</v>
      </c>
      <c r="C67" s="20" t="s">
        <v>4</v>
      </c>
      <c r="D67" s="20" t="s">
        <v>666</v>
      </c>
      <c r="E67" s="20" t="s">
        <v>756</v>
      </c>
      <c r="F67" s="20" t="s">
        <v>770</v>
      </c>
      <c r="G67" s="20" t="s">
        <v>771</v>
      </c>
    </row>
    <row r="68" spans="1:7" x14ac:dyDescent="0.2">
      <c r="A68">
        <v>624</v>
      </c>
      <c r="B68" t="s">
        <v>772</v>
      </c>
      <c r="C68">
        <v>37</v>
      </c>
      <c r="D68" s="251">
        <v>0</v>
      </c>
      <c r="E68" s="251">
        <v>12950</v>
      </c>
      <c r="F68" s="251">
        <v>0</v>
      </c>
      <c r="G68" s="251">
        <v>12950</v>
      </c>
    </row>
    <row r="69" spans="1:7" x14ac:dyDescent="0.2">
      <c r="A69">
        <v>623</v>
      </c>
      <c r="B69" t="s">
        <v>773</v>
      </c>
      <c r="C69">
        <v>40</v>
      </c>
      <c r="D69" s="251">
        <v>0</v>
      </c>
      <c r="E69" s="251">
        <v>14000</v>
      </c>
      <c r="F69" s="251">
        <v>0</v>
      </c>
      <c r="G69" s="251">
        <v>14000</v>
      </c>
    </row>
    <row r="70" spans="1:7" x14ac:dyDescent="0.2">
      <c r="A70">
        <v>621</v>
      </c>
      <c r="B70" t="s">
        <v>774</v>
      </c>
      <c r="C70">
        <v>63</v>
      </c>
      <c r="D70" s="251">
        <v>0</v>
      </c>
      <c r="E70" s="251">
        <v>22050</v>
      </c>
      <c r="F70" s="251">
        <v>0</v>
      </c>
      <c r="G70" s="251">
        <v>22050</v>
      </c>
    </row>
    <row r="71" spans="1:7" x14ac:dyDescent="0.2">
      <c r="A71">
        <v>620</v>
      </c>
      <c r="B71" t="s">
        <v>775</v>
      </c>
      <c r="C71">
        <v>51</v>
      </c>
      <c r="D71" s="251">
        <v>0</v>
      </c>
      <c r="E71" s="251">
        <v>17850</v>
      </c>
      <c r="F71" s="251">
        <v>0</v>
      </c>
      <c r="G71" s="251">
        <v>17850</v>
      </c>
    </row>
    <row r="72" spans="1:7" x14ac:dyDescent="0.2">
      <c r="A72" t="s">
        <v>778</v>
      </c>
      <c r="B72" t="s">
        <v>779</v>
      </c>
      <c r="C72">
        <v>15</v>
      </c>
      <c r="D72" s="251">
        <v>0</v>
      </c>
      <c r="E72" s="251">
        <v>5250</v>
      </c>
      <c r="F72" s="251">
        <v>0</v>
      </c>
      <c r="G72" s="251">
        <v>5250</v>
      </c>
    </row>
    <row r="73" spans="1:7" x14ac:dyDescent="0.2">
      <c r="A73">
        <v>622</v>
      </c>
      <c r="B73" t="s">
        <v>776</v>
      </c>
      <c r="C73">
        <v>99</v>
      </c>
      <c r="D73" s="251">
        <v>0</v>
      </c>
      <c r="E73" s="251">
        <v>34650</v>
      </c>
      <c r="F73" s="251">
        <v>0</v>
      </c>
      <c r="G73" s="251">
        <v>34650</v>
      </c>
    </row>
  </sheetData>
  <mergeCells count="4">
    <mergeCell ref="A42:G42"/>
    <mergeCell ref="A51:G51"/>
    <mergeCell ref="A59:G59"/>
    <mergeCell ref="A66:G66"/>
  </mergeCells>
  <dataValidations count="1">
    <dataValidation type="list" allowBlank="1" showInputMessage="1" showErrorMessage="1" sqref="A14:A16 E14:E16 I14:I16 M14:M16 Q14:Q16" xr:uid="{9698C950-98E6-47F4-8F88-EE192B9C1595}">
      <formula1>ClaveProductos</formula1>
    </dataValidation>
  </dataValidations>
  <pageMargins left="0.7" right="0.7" top="0.75" bottom="0.75" header="0.3" footer="0.3"/>
  <pageSetup orientation="portrait" horizontalDpi="0" verticalDpi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7F6114-26CB-5149-AB1F-E46C45127321}">
  <sheetPr codeName="Hoja2"/>
  <dimension ref="A1:BZ38"/>
  <sheetViews>
    <sheetView topLeftCell="M1" zoomScaleNormal="90" workbookViewId="0">
      <selection activeCell="U1" sqref="U1:U1048576"/>
    </sheetView>
  </sheetViews>
  <sheetFormatPr baseColWidth="10" defaultColWidth="11.5" defaultRowHeight="15" x14ac:dyDescent="0.2"/>
  <cols>
    <col min="1" max="1" width="19.5" bestFit="1" customWidth="1"/>
    <col min="12" max="12" width="19.5" bestFit="1" customWidth="1"/>
    <col min="23" max="23" width="17.33203125" bestFit="1" customWidth="1"/>
    <col min="34" max="34" width="17.1640625" bestFit="1" customWidth="1"/>
    <col min="45" max="45" width="17.33203125" bestFit="1" customWidth="1"/>
    <col min="56" max="56" width="17.5" bestFit="1" customWidth="1"/>
    <col min="67" max="67" width="19" bestFit="1" customWidth="1"/>
  </cols>
  <sheetData>
    <row r="1" spans="1:76" x14ac:dyDescent="0.2">
      <c r="S1" s="328" t="s">
        <v>627</v>
      </c>
      <c r="T1" s="328"/>
      <c r="U1">
        <v>1.6</v>
      </c>
      <c r="V1" t="s">
        <v>15</v>
      </c>
      <c r="W1">
        <f>U1/0.32</f>
        <v>5</v>
      </c>
      <c r="AS1">
        <f>AN1/0.32</f>
        <v>0</v>
      </c>
      <c r="AW1">
        <v>1.68</v>
      </c>
    </row>
    <row r="2" spans="1:76" x14ac:dyDescent="0.2">
      <c r="A2" s="310" t="s">
        <v>495</v>
      </c>
      <c r="B2" s="310"/>
      <c r="C2" s="310"/>
      <c r="D2" s="310"/>
      <c r="E2" s="310"/>
      <c r="F2" s="310"/>
      <c r="G2" s="310"/>
      <c r="H2" s="159"/>
      <c r="I2" s="159"/>
      <c r="J2" s="159"/>
      <c r="K2" s="159"/>
      <c r="L2" s="310" t="s">
        <v>496</v>
      </c>
      <c r="M2" s="310"/>
      <c r="N2" s="310"/>
      <c r="O2" s="310"/>
      <c r="P2" s="310"/>
      <c r="Q2" s="310"/>
      <c r="R2" s="310"/>
      <c r="S2" s="310"/>
      <c r="T2" s="310"/>
      <c r="U2" s="310"/>
      <c r="V2" s="159"/>
      <c r="W2" s="310" t="s">
        <v>497</v>
      </c>
      <c r="X2" s="310"/>
      <c r="Y2" s="310"/>
      <c r="Z2" s="310"/>
      <c r="AA2" s="310"/>
      <c r="AB2" s="310"/>
      <c r="AC2" s="310"/>
      <c r="AD2" s="310"/>
      <c r="AE2" s="310"/>
      <c r="AF2" s="310"/>
      <c r="AH2" s="310" t="s">
        <v>498</v>
      </c>
      <c r="AI2" s="310"/>
      <c r="AJ2" s="310"/>
      <c r="AK2" s="310"/>
      <c r="AL2" s="310"/>
      <c r="AM2" s="310"/>
      <c r="AN2" s="310"/>
      <c r="AO2" s="310"/>
      <c r="AP2" s="310"/>
      <c r="AQ2" s="310"/>
      <c r="AS2" s="310" t="s">
        <v>628</v>
      </c>
      <c r="AT2" s="310"/>
      <c r="AU2" s="310"/>
      <c r="AV2" s="310"/>
      <c r="AW2" s="310"/>
      <c r="AX2" s="310"/>
      <c r="AY2" s="310"/>
      <c r="AZ2" s="310"/>
      <c r="BA2" s="310"/>
      <c r="BB2" s="310"/>
      <c r="BD2" s="310" t="s">
        <v>683</v>
      </c>
      <c r="BE2" s="310"/>
      <c r="BF2" s="310"/>
      <c r="BG2" s="310"/>
      <c r="BH2" s="310"/>
      <c r="BI2" s="310"/>
      <c r="BJ2" s="310"/>
      <c r="BK2" s="310"/>
      <c r="BL2" s="310"/>
      <c r="BM2" s="310"/>
      <c r="BO2" s="310" t="s">
        <v>697</v>
      </c>
      <c r="BP2" s="310"/>
      <c r="BQ2" s="310"/>
      <c r="BR2" s="310"/>
      <c r="BS2" s="310"/>
      <c r="BT2" s="310"/>
      <c r="BU2" s="310"/>
      <c r="BV2" s="310"/>
      <c r="BW2" s="310"/>
      <c r="BX2" s="310"/>
    </row>
    <row r="3" spans="1:76" x14ac:dyDescent="0.2">
      <c r="B3" s="159" t="s">
        <v>633</v>
      </c>
      <c r="C3" s="159">
        <v>1.8</v>
      </c>
      <c r="D3" s="159" t="s">
        <v>15</v>
      </c>
      <c r="E3" s="159"/>
      <c r="F3" s="159"/>
      <c r="G3" s="159"/>
      <c r="H3" s="159"/>
      <c r="I3" s="159"/>
      <c r="J3" s="159"/>
      <c r="K3" s="159"/>
      <c r="L3" s="159"/>
      <c r="M3" s="159" t="s">
        <v>633</v>
      </c>
      <c r="N3" s="159">
        <v>1.6</v>
      </c>
      <c r="O3" s="159" t="s">
        <v>15</v>
      </c>
      <c r="P3" s="159"/>
      <c r="Q3" s="159"/>
      <c r="R3" s="159"/>
      <c r="S3" s="159"/>
      <c r="T3" s="159"/>
      <c r="U3" s="159"/>
      <c r="V3" s="159"/>
      <c r="W3" s="159"/>
      <c r="X3" s="159" t="s">
        <v>633</v>
      </c>
      <c r="Y3" s="159">
        <v>1.6</v>
      </c>
      <c r="Z3" s="159" t="s">
        <v>15</v>
      </c>
      <c r="AA3" s="159"/>
      <c r="AB3" s="159"/>
      <c r="AC3" s="159"/>
      <c r="AD3" s="159"/>
      <c r="AE3" s="159"/>
      <c r="AF3" s="159"/>
      <c r="AH3" s="159"/>
      <c r="AI3" s="159" t="s">
        <v>633</v>
      </c>
      <c r="AJ3" s="159">
        <v>1.65</v>
      </c>
      <c r="AK3" s="159" t="s">
        <v>15</v>
      </c>
      <c r="AL3" s="159"/>
      <c r="AM3" s="159"/>
      <c r="AN3" s="159"/>
      <c r="AO3" s="159"/>
      <c r="AP3" s="159"/>
      <c r="AQ3" s="159"/>
      <c r="AS3" s="159"/>
      <c r="AT3" s="159" t="s">
        <v>633</v>
      </c>
      <c r="AU3" s="159">
        <v>1.68</v>
      </c>
      <c r="AV3" s="159" t="s">
        <v>15</v>
      </c>
      <c r="AW3" s="159"/>
      <c r="AX3" s="159"/>
      <c r="AY3" s="159"/>
      <c r="AZ3" s="159"/>
      <c r="BA3" s="159"/>
      <c r="BB3" s="159"/>
      <c r="BD3" s="159"/>
      <c r="BE3" s="159" t="s">
        <v>633</v>
      </c>
      <c r="BF3" s="159">
        <v>1.65</v>
      </c>
      <c r="BG3" s="159" t="s">
        <v>15</v>
      </c>
      <c r="BH3" s="159"/>
      <c r="BI3" s="159"/>
      <c r="BJ3" s="159"/>
      <c r="BK3" s="159"/>
      <c r="BL3" s="159"/>
      <c r="BM3" s="159"/>
      <c r="BO3" s="159"/>
      <c r="BP3" s="159" t="s">
        <v>633</v>
      </c>
      <c r="BQ3" s="159">
        <v>1.71</v>
      </c>
      <c r="BR3" s="159" t="s">
        <v>15</v>
      </c>
      <c r="BS3" s="159"/>
      <c r="BT3" s="159"/>
      <c r="BU3" s="159"/>
      <c r="BV3" s="159"/>
      <c r="BW3" s="159"/>
      <c r="BX3" s="159"/>
    </row>
    <row r="4" spans="1:76" x14ac:dyDescent="0.2">
      <c r="B4" t="s">
        <v>634</v>
      </c>
      <c r="C4">
        <f>C3</f>
        <v>1.8</v>
      </c>
      <c r="D4" t="s">
        <v>15</v>
      </c>
      <c r="E4" t="s">
        <v>634</v>
      </c>
      <c r="F4">
        <v>1.1000000000000001</v>
      </c>
      <c r="G4" t="s">
        <v>15</v>
      </c>
      <c r="H4" t="s">
        <v>634</v>
      </c>
      <c r="I4">
        <v>0.36</v>
      </c>
      <c r="J4" t="s">
        <v>15</v>
      </c>
      <c r="M4" t="s">
        <v>634</v>
      </c>
      <c r="N4">
        <f>N3</f>
        <v>1.6</v>
      </c>
      <c r="O4" t="s">
        <v>15</v>
      </c>
      <c r="P4" t="s">
        <v>634</v>
      </c>
      <c r="Q4">
        <v>1.1000000000000001</v>
      </c>
      <c r="R4" t="s">
        <v>15</v>
      </c>
      <c r="S4" t="s">
        <v>634</v>
      </c>
      <c r="T4">
        <v>0.32</v>
      </c>
      <c r="U4" t="s">
        <v>15</v>
      </c>
      <c r="X4" t="s">
        <v>634</v>
      </c>
      <c r="Y4">
        <f>Y3</f>
        <v>1.6</v>
      </c>
      <c r="Z4" t="s">
        <v>15</v>
      </c>
      <c r="AA4" t="s">
        <v>634</v>
      </c>
      <c r="AB4">
        <v>1.1000000000000001</v>
      </c>
      <c r="AC4" t="s">
        <v>15</v>
      </c>
      <c r="AD4" t="s">
        <v>634</v>
      </c>
      <c r="AE4">
        <v>0.32</v>
      </c>
      <c r="AF4" t="s">
        <v>15</v>
      </c>
      <c r="AI4" t="s">
        <v>634</v>
      </c>
      <c r="AJ4">
        <f>AJ3</f>
        <v>1.65</v>
      </c>
      <c r="AK4" t="s">
        <v>15</v>
      </c>
      <c r="AL4" t="s">
        <v>634</v>
      </c>
      <c r="AM4">
        <v>1.1000000000000001</v>
      </c>
      <c r="AN4" t="s">
        <v>15</v>
      </c>
      <c r="AO4" t="s">
        <v>634</v>
      </c>
      <c r="AP4">
        <f>AJ3/5</f>
        <v>0.32999999999999996</v>
      </c>
      <c r="AQ4" t="s">
        <v>15</v>
      </c>
      <c r="AT4" t="s">
        <v>634</v>
      </c>
      <c r="AU4">
        <f>AU3</f>
        <v>1.68</v>
      </c>
      <c r="AV4" t="s">
        <v>15</v>
      </c>
      <c r="AW4" t="s">
        <v>634</v>
      </c>
      <c r="AX4">
        <v>1.1000000000000001</v>
      </c>
      <c r="AY4" t="s">
        <v>15</v>
      </c>
      <c r="AZ4" t="s">
        <v>634</v>
      </c>
      <c r="BA4">
        <f>AU3/5</f>
        <v>0.33599999999999997</v>
      </c>
      <c r="BB4" t="s">
        <v>15</v>
      </c>
      <c r="BE4" t="s">
        <v>634</v>
      </c>
      <c r="BF4">
        <f>BF3</f>
        <v>1.65</v>
      </c>
      <c r="BG4" t="s">
        <v>15</v>
      </c>
      <c r="BH4" t="s">
        <v>634</v>
      </c>
      <c r="BI4" s="12">
        <v>1.1000000000000001</v>
      </c>
      <c r="BJ4" t="s">
        <v>15</v>
      </c>
      <c r="BK4" t="s">
        <v>634</v>
      </c>
      <c r="BL4" s="12">
        <f>BF3/5</f>
        <v>0.32999999999999996</v>
      </c>
      <c r="BM4" t="s">
        <v>15</v>
      </c>
      <c r="BP4" t="s">
        <v>634</v>
      </c>
      <c r="BQ4">
        <f>BQ3</f>
        <v>1.71</v>
      </c>
      <c r="BR4" t="s">
        <v>15</v>
      </c>
      <c r="BS4" t="s">
        <v>634</v>
      </c>
      <c r="BT4" s="12">
        <v>1.1000000000000001</v>
      </c>
      <c r="BU4" t="s">
        <v>15</v>
      </c>
      <c r="BV4" t="s">
        <v>634</v>
      </c>
      <c r="BW4" s="12">
        <f>BQ3/6</f>
        <v>0.28499999999999998</v>
      </c>
      <c r="BX4" t="s">
        <v>15</v>
      </c>
    </row>
    <row r="5" spans="1:76" ht="16" thickBot="1" x14ac:dyDescent="0.25">
      <c r="B5" s="313" t="s">
        <v>372</v>
      </c>
      <c r="C5" s="313"/>
      <c r="D5" s="313"/>
      <c r="E5" s="313" t="s">
        <v>371</v>
      </c>
      <c r="F5" s="313"/>
      <c r="G5" s="313"/>
      <c r="H5" s="313" t="s">
        <v>375</v>
      </c>
      <c r="I5" s="313"/>
      <c r="J5" s="313"/>
      <c r="K5" s="159"/>
      <c r="M5" s="313" t="s">
        <v>372</v>
      </c>
      <c r="N5" s="313"/>
      <c r="O5" s="313"/>
      <c r="P5" s="313" t="s">
        <v>371</v>
      </c>
      <c r="Q5" s="313"/>
      <c r="R5" s="313"/>
      <c r="S5" s="313" t="s">
        <v>516</v>
      </c>
      <c r="T5" s="313"/>
      <c r="U5" s="313"/>
      <c r="V5" s="159"/>
      <c r="X5" s="313" t="s">
        <v>372</v>
      </c>
      <c r="Y5" s="313"/>
      <c r="Z5" s="313"/>
      <c r="AA5" s="313" t="s">
        <v>371</v>
      </c>
      <c r="AB5" s="313"/>
      <c r="AC5" s="313"/>
      <c r="AD5" s="313" t="s">
        <v>631</v>
      </c>
      <c r="AE5" s="313"/>
      <c r="AF5" s="313"/>
      <c r="AI5" s="313" t="s">
        <v>372</v>
      </c>
      <c r="AJ5" s="313"/>
      <c r="AK5" s="313"/>
      <c r="AL5" s="313" t="s">
        <v>371</v>
      </c>
      <c r="AM5" s="313"/>
      <c r="AN5" s="313"/>
      <c r="AO5" s="313" t="s">
        <v>631</v>
      </c>
      <c r="AP5" s="313"/>
      <c r="AQ5" s="313"/>
      <c r="AT5" s="313" t="s">
        <v>372</v>
      </c>
      <c r="AU5" s="313"/>
      <c r="AV5" s="313"/>
      <c r="AW5" s="313" t="s">
        <v>371</v>
      </c>
      <c r="AX5" s="313"/>
      <c r="AY5" s="313"/>
      <c r="AZ5" s="313" t="s">
        <v>631</v>
      </c>
      <c r="BA5" s="313"/>
      <c r="BB5" s="313"/>
      <c r="BE5" s="310" t="s">
        <v>372</v>
      </c>
      <c r="BF5" s="310"/>
      <c r="BG5" s="310"/>
      <c r="BH5" s="310" t="s">
        <v>371</v>
      </c>
      <c r="BI5" s="310"/>
      <c r="BJ5" s="310"/>
      <c r="BK5" s="310" t="s">
        <v>631</v>
      </c>
      <c r="BL5" s="310"/>
      <c r="BM5" s="310"/>
      <c r="BP5" s="310" t="s">
        <v>372</v>
      </c>
      <c r="BQ5" s="310"/>
      <c r="BR5" s="310"/>
      <c r="BS5" s="310" t="s">
        <v>371</v>
      </c>
      <c r="BT5" s="310"/>
      <c r="BU5" s="310"/>
      <c r="BV5" s="310" t="s">
        <v>631</v>
      </c>
      <c r="BW5" s="310"/>
      <c r="BX5" s="310"/>
    </row>
    <row r="6" spans="1:76" x14ac:dyDescent="0.2">
      <c r="A6" s="105" t="s">
        <v>445</v>
      </c>
      <c r="B6" s="105" t="s">
        <v>4</v>
      </c>
      <c r="C6" s="105" t="s">
        <v>5</v>
      </c>
      <c r="D6" s="105" t="s">
        <v>7</v>
      </c>
      <c r="E6" s="105" t="s">
        <v>4</v>
      </c>
      <c r="F6" s="105" t="s">
        <v>5</v>
      </c>
      <c r="G6" s="105" t="s">
        <v>7</v>
      </c>
      <c r="H6" s="105" t="s">
        <v>4</v>
      </c>
      <c r="I6" s="105" t="s">
        <v>5</v>
      </c>
      <c r="J6" s="105" t="s">
        <v>7</v>
      </c>
      <c r="K6" s="105"/>
      <c r="L6" s="105" t="s">
        <v>445</v>
      </c>
      <c r="M6" s="105" t="s">
        <v>4</v>
      </c>
      <c r="N6" s="105" t="s">
        <v>5</v>
      </c>
      <c r="O6" s="105" t="s">
        <v>7</v>
      </c>
      <c r="P6" s="105" t="s">
        <v>4</v>
      </c>
      <c r="Q6" s="105" t="s">
        <v>5</v>
      </c>
      <c r="R6" s="105" t="s">
        <v>7</v>
      </c>
      <c r="S6" s="105" t="s">
        <v>4</v>
      </c>
      <c r="T6" s="105" t="s">
        <v>5</v>
      </c>
      <c r="U6" s="105" t="s">
        <v>7</v>
      </c>
      <c r="V6" s="105"/>
      <c r="W6" s="105" t="s">
        <v>445</v>
      </c>
      <c r="X6" s="105" t="s">
        <v>4</v>
      </c>
      <c r="Y6" s="105" t="s">
        <v>5</v>
      </c>
      <c r="Z6" s="105" t="s">
        <v>7</v>
      </c>
      <c r="AA6" s="105" t="s">
        <v>4</v>
      </c>
      <c r="AB6" s="105" t="s">
        <v>5</v>
      </c>
      <c r="AC6" s="105" t="s">
        <v>7</v>
      </c>
      <c r="AD6" s="105" t="s">
        <v>4</v>
      </c>
      <c r="AE6" s="105" t="s">
        <v>5</v>
      </c>
      <c r="AF6" s="105" t="s">
        <v>7</v>
      </c>
      <c r="AH6" s="105" t="s">
        <v>445</v>
      </c>
      <c r="AI6" s="105" t="s">
        <v>4</v>
      </c>
      <c r="AJ6" s="105" t="s">
        <v>5</v>
      </c>
      <c r="AK6" s="105" t="s">
        <v>7</v>
      </c>
      <c r="AL6" s="105" t="s">
        <v>4</v>
      </c>
      <c r="AM6" s="105" t="s">
        <v>5</v>
      </c>
      <c r="AN6" s="105" t="s">
        <v>7</v>
      </c>
      <c r="AO6" s="105" t="s">
        <v>4</v>
      </c>
      <c r="AP6" s="105" t="s">
        <v>5</v>
      </c>
      <c r="AQ6" s="105" t="s">
        <v>7</v>
      </c>
      <c r="AS6" s="105" t="s">
        <v>445</v>
      </c>
      <c r="AT6" s="105" t="s">
        <v>4</v>
      </c>
      <c r="AU6" s="105" t="s">
        <v>5</v>
      </c>
      <c r="AV6" s="105" t="s">
        <v>7</v>
      </c>
      <c r="AW6" s="105" t="s">
        <v>4</v>
      </c>
      <c r="AX6" s="105" t="s">
        <v>5</v>
      </c>
      <c r="AY6" s="105" t="s">
        <v>7</v>
      </c>
      <c r="AZ6" s="105" t="s">
        <v>4</v>
      </c>
      <c r="BA6" s="105" t="s">
        <v>5</v>
      </c>
      <c r="BB6" s="105" t="s">
        <v>7</v>
      </c>
      <c r="BD6" s="105" t="s">
        <v>445</v>
      </c>
      <c r="BE6" s="105" t="s">
        <v>4</v>
      </c>
      <c r="BF6" s="105" t="s">
        <v>5</v>
      </c>
      <c r="BG6" s="105" t="s">
        <v>7</v>
      </c>
      <c r="BH6" s="105" t="s">
        <v>4</v>
      </c>
      <c r="BI6" s="105" t="s">
        <v>5</v>
      </c>
      <c r="BJ6" s="105" t="s">
        <v>7</v>
      </c>
      <c r="BK6" s="105" t="s">
        <v>4</v>
      </c>
      <c r="BL6" s="105" t="s">
        <v>5</v>
      </c>
      <c r="BM6" s="105" t="s">
        <v>7</v>
      </c>
      <c r="BO6" s="105" t="s">
        <v>445</v>
      </c>
      <c r="BP6" s="105" t="s">
        <v>4</v>
      </c>
      <c r="BQ6" s="105" t="s">
        <v>5</v>
      </c>
      <c r="BR6" s="105" t="s">
        <v>7</v>
      </c>
      <c r="BS6" s="105" t="s">
        <v>4</v>
      </c>
      <c r="BT6" s="105" t="s">
        <v>5</v>
      </c>
      <c r="BU6" s="105" t="s">
        <v>7</v>
      </c>
      <c r="BV6" s="105" t="s">
        <v>4</v>
      </c>
      <c r="BW6" s="105" t="s">
        <v>5</v>
      </c>
      <c r="BX6" s="105" t="s">
        <v>7</v>
      </c>
    </row>
    <row r="7" spans="1:76" ht="15" customHeight="1" x14ac:dyDescent="0.2">
      <c r="A7" t="s">
        <v>87</v>
      </c>
      <c r="B7">
        <v>0.1</v>
      </c>
      <c r="C7" t="s">
        <v>15</v>
      </c>
      <c r="D7" s="5">
        <f>VLOOKUP(A7,'Costo Materia Prima'!$D$3:$I$409,6,FALSE)*B7</f>
        <v>32.482666666666667</v>
      </c>
      <c r="E7" s="12">
        <f t="shared" ref="E7:E18" si="0">($F$4*B7)/$C$3</f>
        <v>6.1111111111111116E-2</v>
      </c>
      <c r="F7" t="s">
        <v>15</v>
      </c>
      <c r="G7" s="78">
        <f>VLOOKUP(A7,'Costo Materia Prima'!$D$3:$I$409,6,FALSE)*E7</f>
        <v>19.85051851851852</v>
      </c>
      <c r="H7" s="12">
        <f>B7/5</f>
        <v>0.02</v>
      </c>
      <c r="I7" t="s">
        <v>15</v>
      </c>
      <c r="J7" s="78">
        <f>VLOOKUP(A7,'Costo Materia Prima'!$D$3:$I$409,6,FALSE)*H7</f>
        <v>6.4965333333333328</v>
      </c>
      <c r="K7" s="78"/>
      <c r="L7" t="s">
        <v>188</v>
      </c>
      <c r="M7">
        <f>0.1</f>
        <v>0.1</v>
      </c>
      <c r="N7" t="s">
        <v>15</v>
      </c>
      <c r="O7" s="5">
        <f>VLOOKUP(L7,'Costo Materia Prima'!$D$3:$I$409,6,FALSE)*M7</f>
        <v>11.4</v>
      </c>
      <c r="P7" s="12">
        <f>($Q$4*M7)/$N$3</f>
        <v>6.8750000000000006E-2</v>
      </c>
      <c r="Q7" t="s">
        <v>15</v>
      </c>
      <c r="R7" s="5">
        <f>VLOOKUP(L7,'Costo Materia Prima'!$D$3:$I$409,6,FALSE)*P7</f>
        <v>7.8375000000000004</v>
      </c>
      <c r="S7">
        <f>($T$4*M7)/$N$3</f>
        <v>0.02</v>
      </c>
      <c r="T7" t="s">
        <v>15</v>
      </c>
      <c r="U7" s="78">
        <f>VLOOKUP(L7,'Costo Materia Prima'!$D$3:$I$409,6,FALSE)*S7</f>
        <v>2.2800000000000002</v>
      </c>
      <c r="V7" s="5"/>
      <c r="Z7" s="5"/>
      <c r="AA7" s="12"/>
      <c r="AC7" s="5"/>
      <c r="AD7" s="12"/>
      <c r="AF7" s="5"/>
      <c r="AH7" t="s">
        <v>499</v>
      </c>
      <c r="AI7">
        <v>0.2</v>
      </c>
      <c r="AJ7" t="s">
        <v>15</v>
      </c>
      <c r="AK7" s="5">
        <f>AI7*'Insumos 2'!G28</f>
        <v>20.332130896727577</v>
      </c>
      <c r="AL7" s="12">
        <f t="shared" ref="AL7:AL16" si="1">($AM$4*AI7)/$AJ$3</f>
        <v>0.13333333333333336</v>
      </c>
      <c r="AM7" t="s">
        <v>15</v>
      </c>
      <c r="AN7" s="5">
        <f>AL7*'Insumos 2'!G28</f>
        <v>13.554753931151721</v>
      </c>
      <c r="AO7" s="12">
        <v>0.04</v>
      </c>
      <c r="AP7" t="s">
        <v>15</v>
      </c>
      <c r="AQ7" s="199">
        <f>AO7*'Insumos 2'!G28</f>
        <v>4.0664261793455152</v>
      </c>
      <c r="AS7" s="200" t="s">
        <v>475</v>
      </c>
      <c r="AT7">
        <v>0.2</v>
      </c>
      <c r="AU7" t="s">
        <v>15</v>
      </c>
      <c r="AV7" s="5">
        <f>AT7*'Insumos 2'!G28</f>
        <v>20.332130896727577</v>
      </c>
      <c r="AW7" s="12">
        <f>($AX$4*AT7)/$AU$3</f>
        <v>0.13095238095238099</v>
      </c>
      <c r="AX7" t="s">
        <v>15</v>
      </c>
      <c r="AY7" s="5">
        <f>'Insumos 2'!G28*AW7</f>
        <v>13.312704753809726</v>
      </c>
      <c r="AZ7">
        <f t="shared" ref="AZ7:AZ14" si="2">AT7/5</f>
        <v>0.04</v>
      </c>
      <c r="BA7" t="s">
        <v>15</v>
      </c>
      <c r="BB7" s="199">
        <f>AZ7*'Insumos 2'!G28</f>
        <v>4.0664261793455152</v>
      </c>
      <c r="BD7" s="200" t="s">
        <v>475</v>
      </c>
      <c r="BE7" s="12">
        <v>0.2</v>
      </c>
      <c r="BF7" t="s">
        <v>15</v>
      </c>
      <c r="BG7" s="5">
        <f>BE7*'Insumos 2'!G4</f>
        <v>14.510460481099656</v>
      </c>
      <c r="BH7" s="12">
        <f>($AX$4*BE7)/$AU$3</f>
        <v>0.13095238095238099</v>
      </c>
      <c r="BI7" t="s">
        <v>15</v>
      </c>
      <c r="BJ7" s="5">
        <f>BH7*'Insumos 2'!G4</f>
        <v>9.5008967435771581</v>
      </c>
      <c r="BK7">
        <f>BE7/5</f>
        <v>0.04</v>
      </c>
      <c r="BL7" t="s">
        <v>15</v>
      </c>
      <c r="BM7" s="199">
        <f>BK7*'Insumos 2'!G4</f>
        <v>2.9020920962199312</v>
      </c>
      <c r="BO7" t="s">
        <v>475</v>
      </c>
      <c r="BP7" s="12">
        <v>0.2</v>
      </c>
      <c r="BQ7" t="s">
        <v>15</v>
      </c>
      <c r="BR7" s="95">
        <f>BP7*'Insumos 2'!G4</f>
        <v>14.510460481099656</v>
      </c>
      <c r="BS7" s="12">
        <f>($AX$4*BP7)/$AU$3</f>
        <v>0.13095238095238099</v>
      </c>
      <c r="BT7" t="s">
        <v>15</v>
      </c>
      <c r="BU7" s="95">
        <f>BS7*'Insumos 2'!S4</f>
        <v>0</v>
      </c>
      <c r="BV7" s="14">
        <v>0.04</v>
      </c>
      <c r="BW7" t="s">
        <v>15</v>
      </c>
      <c r="BX7" s="199">
        <f>BV7*'Insumos 2'!G4</f>
        <v>2.9020920962199312</v>
      </c>
    </row>
    <row r="8" spans="1:76" x14ac:dyDescent="0.2">
      <c r="A8" t="s">
        <v>499</v>
      </c>
      <c r="B8">
        <v>0.12</v>
      </c>
      <c r="C8" t="s">
        <v>15</v>
      </c>
      <c r="D8" s="5">
        <f>B8*'Insumos 2'!G28</f>
        <v>12.199278538036546</v>
      </c>
      <c r="E8" s="12">
        <f t="shared" si="0"/>
        <v>7.3333333333333334E-2</v>
      </c>
      <c r="F8" t="s">
        <v>15</v>
      </c>
      <c r="G8" s="78">
        <f>E8*'Insumos 2'!G28</f>
        <v>7.455114662133445</v>
      </c>
      <c r="H8">
        <f>B8/5</f>
        <v>2.4E-2</v>
      </c>
      <c r="I8" t="s">
        <v>15</v>
      </c>
      <c r="J8" s="78">
        <f>H8*'Insumos 2'!G28</f>
        <v>2.4398557076073093</v>
      </c>
      <c r="K8" s="78"/>
      <c r="L8" t="s">
        <v>81</v>
      </c>
      <c r="M8">
        <v>0.05</v>
      </c>
      <c r="N8" t="s">
        <v>15</v>
      </c>
      <c r="O8" s="5">
        <f>VLOOKUP(L8,'Costo Materia Prima'!$D$3:$I$409,6,FALSE)*M8</f>
        <v>9.9500000000000011</v>
      </c>
      <c r="P8" s="12">
        <f t="shared" ref="P8:P18" si="3">($Q$4*M8)/$N$3</f>
        <v>3.4375000000000003E-2</v>
      </c>
      <c r="Q8" t="s">
        <v>15</v>
      </c>
      <c r="R8" s="5">
        <f>VLOOKUP(L8,'Costo Materia Prima'!$D$3:$I$409,6,FALSE)*P8</f>
        <v>6.8406250000000002</v>
      </c>
      <c r="S8">
        <f t="shared" ref="S8:S18" si="4">($T$4*M8)/$N$3</f>
        <v>0.01</v>
      </c>
      <c r="T8" t="s">
        <v>15</v>
      </c>
      <c r="U8" s="78">
        <f>VLOOKUP(L8,'Costo Materia Prima'!$D$3:$I$409,6,FALSE)*S8</f>
        <v>1.99</v>
      </c>
      <c r="V8" s="5"/>
      <c r="Z8" s="5"/>
      <c r="AA8" s="12"/>
      <c r="AC8" s="5"/>
      <c r="AD8" s="12"/>
      <c r="AF8" s="5"/>
      <c r="AH8" t="s">
        <v>313</v>
      </c>
      <c r="AI8">
        <v>0.09</v>
      </c>
      <c r="AJ8" t="s">
        <v>15</v>
      </c>
      <c r="AK8" s="5">
        <f>VLOOKUP(AH8,'Costo Materia Prima'!$D$3:$I$409,6,FALSE)*AI8</f>
        <v>15.749927999999997</v>
      </c>
      <c r="AL8" s="12">
        <f t="shared" si="1"/>
        <v>6.0000000000000005E-2</v>
      </c>
      <c r="AM8" t="s">
        <v>15</v>
      </c>
      <c r="AN8" s="5">
        <f>_xlfn.IFNA(VLOOKUP(AH8,'Costo Materia Prima'!$D$3:$I$409,6,FALSE)*AL8,"")</f>
        <v>10.499951999999999</v>
      </c>
      <c r="AO8" s="12">
        <f t="shared" ref="AO8:AO13" si="5">($AP$4*AI8)/$AJ$3</f>
        <v>1.7999999999999999E-2</v>
      </c>
      <c r="AP8" t="s">
        <v>15</v>
      </c>
      <c r="AQ8" s="5">
        <f>_xlfn.IFNA(VLOOKUP(AH8,'Costo Materia Prima'!$D$3:$I$409,6,FALSE)*AO8,0)</f>
        <v>3.1499855999999995</v>
      </c>
      <c r="AS8" t="s">
        <v>284</v>
      </c>
      <c r="AT8">
        <v>0.25</v>
      </c>
      <c r="AU8" t="s">
        <v>15</v>
      </c>
      <c r="AV8" s="5">
        <f>VLOOKUP(AS8,'Costo Materia Prima'!$D$3:$I$409,6,FALSE)*AT8</f>
        <v>6.375</v>
      </c>
      <c r="AW8" s="12">
        <f>($AX$4*AT8)/$AU$3</f>
        <v>0.16369047619047622</v>
      </c>
      <c r="AX8" t="s">
        <v>15</v>
      </c>
      <c r="AY8" s="5">
        <f>VLOOKUP(AS8,'Costo Materia Prima'!$D$3:$I$409,6,FALSE)*AW8</f>
        <v>4.1741071428571432</v>
      </c>
      <c r="AZ8">
        <f t="shared" si="2"/>
        <v>0.05</v>
      </c>
      <c r="BA8" t="s">
        <v>15</v>
      </c>
      <c r="BB8" s="5">
        <f>_xlfn.IFNA(VLOOKUP(AS8,'Costo Materia Prima'!$D$3:$I$409,6,FALSE)*AZ8,0)</f>
        <v>1.2750000000000001</v>
      </c>
      <c r="BD8" t="s">
        <v>279</v>
      </c>
      <c r="BE8" s="12">
        <v>2E-3</v>
      </c>
      <c r="BF8" t="s">
        <v>15</v>
      </c>
      <c r="BG8" s="5">
        <f>VLOOKUP(BD8,'Costo Materia Prima'!$D$3:$I$409,6,FALSE)*BE8</f>
        <v>0.58635454545454535</v>
      </c>
      <c r="BH8" s="12">
        <f t="shared" ref="BH8:BH22" si="6">($BI$4*BE8)/$BF$3</f>
        <v>1.3333333333333335E-3</v>
      </c>
      <c r="BI8" t="s">
        <v>15</v>
      </c>
      <c r="BJ8" s="5">
        <f>VLOOKUP(BD8,'Costo Materia Prima'!$D$3:$I$409,6,FALSE)*BH8</f>
        <v>0.39090303030303031</v>
      </c>
      <c r="BK8">
        <f t="shared" ref="BK8:BK14" si="7">BE8/5</f>
        <v>4.0000000000000002E-4</v>
      </c>
      <c r="BL8" t="s">
        <v>15</v>
      </c>
      <c r="BM8" s="5">
        <f>_xlfn.IFNA(VLOOKUP(BD8,'Costo Materia Prima'!$D$3:$I$409,6,FALSE)*BK8,0)</f>
        <v>0.11727090909090908</v>
      </c>
      <c r="BO8" t="s">
        <v>279</v>
      </c>
      <c r="BP8" s="12">
        <v>2E-3</v>
      </c>
      <c r="BQ8" t="s">
        <v>15</v>
      </c>
      <c r="BR8" s="95">
        <f>VLOOKUP(BO8,'Costo Materia Prima'!$D$3:$I$409,6,FALSE)*BP8</f>
        <v>0.58635454545454535</v>
      </c>
      <c r="BS8" s="12">
        <f t="shared" ref="BS8:BS19" si="8">($BI$4*BP8)/$BF$3</f>
        <v>1.3333333333333335E-3</v>
      </c>
      <c r="BT8" t="s">
        <v>15</v>
      </c>
      <c r="BU8" s="95">
        <f>VLOOKUP(BO8,'Costo Materia Prima'!$D$3:$I$409,6,FALSE)*BS8</f>
        <v>0.39090303030303031</v>
      </c>
      <c r="BV8" s="14">
        <f>BP8/6</f>
        <v>3.3333333333333332E-4</v>
      </c>
      <c r="BW8" t="s">
        <v>15</v>
      </c>
      <c r="BX8" s="95">
        <f>_xlfn.IFNA(VLOOKUP(BO8,'Costo Materia Prima'!$D$3:$I$409,6,FALSE)*BV8,0)</f>
        <v>9.7725757575757563E-2</v>
      </c>
    </row>
    <row r="9" spans="1:76" x14ac:dyDescent="0.2">
      <c r="A9" t="s">
        <v>313</v>
      </c>
      <c r="B9">
        <v>0.09</v>
      </c>
      <c r="C9" t="s">
        <v>15</v>
      </c>
      <c r="D9" s="5">
        <f>VLOOKUP(A9,'Costo Materia Prima'!$D$3:$I$409,6,FALSE)*B9</f>
        <v>15.749927999999997</v>
      </c>
      <c r="E9" s="12">
        <f t="shared" si="0"/>
        <v>5.5E-2</v>
      </c>
      <c r="F9" t="s">
        <v>15</v>
      </c>
      <c r="G9" s="78">
        <f>VLOOKUP(A9,'Costo Materia Prima'!$D$3:$I$409,6,FALSE)*E9</f>
        <v>9.6249559999999992</v>
      </c>
      <c r="H9">
        <f t="shared" ref="H9:H18" si="9">B9/5</f>
        <v>1.7999999999999999E-2</v>
      </c>
      <c r="I9" t="s">
        <v>15</v>
      </c>
      <c r="J9" s="78">
        <f>VLOOKUP(A9,'Costo Materia Prima'!$D$3:$I$409,6,FALSE)*H9</f>
        <v>3.1499855999999995</v>
      </c>
      <c r="K9" s="78"/>
      <c r="L9" t="s">
        <v>313</v>
      </c>
      <c r="M9">
        <v>0.09</v>
      </c>
      <c r="N9" t="s">
        <v>15</v>
      </c>
      <c r="O9" s="5">
        <f>VLOOKUP(L9,'Costo Materia Prima'!$D$3:$I$409,6,FALSE)*M9</f>
        <v>15.749927999999997</v>
      </c>
      <c r="P9" s="12">
        <f t="shared" si="3"/>
        <v>6.1874999999999999E-2</v>
      </c>
      <c r="Q9" t="s">
        <v>15</v>
      </c>
      <c r="R9" s="5">
        <f>VLOOKUP(L9,'Costo Materia Prima'!$D$3:$I$409,6,FALSE)*P9</f>
        <v>10.828075499999999</v>
      </c>
      <c r="S9">
        <f t="shared" si="4"/>
        <v>1.7999999999999999E-2</v>
      </c>
      <c r="T9" t="s">
        <v>15</v>
      </c>
      <c r="U9" s="78">
        <f>VLOOKUP(L9,'Costo Materia Prima'!$D$3:$I$409,6,FALSE)*S9</f>
        <v>3.1499855999999995</v>
      </c>
      <c r="V9" s="5"/>
      <c r="Z9" s="5"/>
      <c r="AA9" s="12"/>
      <c r="AC9" s="5"/>
      <c r="AD9" s="12"/>
      <c r="AF9" s="5"/>
      <c r="AH9" t="s">
        <v>311</v>
      </c>
      <c r="AI9">
        <v>0.84</v>
      </c>
      <c r="AJ9" t="s">
        <v>15</v>
      </c>
      <c r="AK9" s="5">
        <f>VLOOKUP(AH9,'Costo Materia Prima'!$D$3:$I$409,6,FALSE)*AI9</f>
        <v>130.19999999999999</v>
      </c>
      <c r="AL9" s="12">
        <f t="shared" si="1"/>
        <v>0.56000000000000005</v>
      </c>
      <c r="AM9" t="s">
        <v>15</v>
      </c>
      <c r="AN9" s="5">
        <f>_xlfn.IFNA(VLOOKUP(AH9,'Costo Materia Prima'!$D$3:$I$409,6,FALSE)*AL9,"")</f>
        <v>86.800000000000011</v>
      </c>
      <c r="AO9" s="12">
        <f t="shared" si="5"/>
        <v>0.16799999999999998</v>
      </c>
      <c r="AP9" t="s">
        <v>15</v>
      </c>
      <c r="AQ9" s="5">
        <f>_xlfn.IFNA(VLOOKUP(AH9,'Costo Materia Prima'!$D$3:$I$409,6,FALSE)*AO9,0)</f>
        <v>26.039999999999996</v>
      </c>
      <c r="AS9" s="200" t="s">
        <v>313</v>
      </c>
      <c r="AT9">
        <v>0.09</v>
      </c>
      <c r="AU9" t="s">
        <v>15</v>
      </c>
      <c r="AV9" s="5">
        <f>VLOOKUP(AS9,'Costo Materia Prima'!$D$3:$I$409,6,FALSE)*AT9</f>
        <v>15.749927999999997</v>
      </c>
      <c r="AW9" s="12">
        <f t="shared" ref="AW9:AW16" si="10">($AX$4*AT9)/$AU$3</f>
        <v>5.8928571428571434E-2</v>
      </c>
      <c r="AX9" t="s">
        <v>15</v>
      </c>
      <c r="AY9" s="5">
        <f>VLOOKUP(AS9,'Costo Materia Prima'!$D$3:$I$409,6,FALSE)*AW9</f>
        <v>10.312452857142857</v>
      </c>
      <c r="AZ9">
        <f t="shared" si="2"/>
        <v>1.7999999999999999E-2</v>
      </c>
      <c r="BA9" t="s">
        <v>15</v>
      </c>
      <c r="BB9" s="5">
        <f>_xlfn.IFNA(VLOOKUP(AS9,'Costo Materia Prima'!$D$3:$I$409,6,FALSE)*AZ9,0)</f>
        <v>3.1499855999999995</v>
      </c>
      <c r="BD9" t="s">
        <v>313</v>
      </c>
      <c r="BE9" s="12">
        <v>0.09</v>
      </c>
      <c r="BF9" t="s">
        <v>15</v>
      </c>
      <c r="BG9" s="5">
        <f>VLOOKUP(BD9,'Costo Materia Prima'!$D$3:$I$409,6,FALSE)*BE9</f>
        <v>15.749927999999997</v>
      </c>
      <c r="BH9" s="12">
        <f t="shared" si="6"/>
        <v>6.0000000000000005E-2</v>
      </c>
      <c r="BI9" t="s">
        <v>15</v>
      </c>
      <c r="BJ9" s="5">
        <f>VLOOKUP(BD9,'Costo Materia Prima'!$D$3:$I$409,6,FALSE)*BH9</f>
        <v>10.499951999999999</v>
      </c>
      <c r="BK9">
        <f t="shared" si="7"/>
        <v>1.7999999999999999E-2</v>
      </c>
      <c r="BL9" t="s">
        <v>15</v>
      </c>
      <c r="BM9" s="5">
        <f>_xlfn.IFNA(VLOOKUP(BD9,'Costo Materia Prima'!$D$3:$I$409,6,FALSE)*BK9,0)</f>
        <v>3.1499855999999995</v>
      </c>
      <c r="BO9" t="s">
        <v>313</v>
      </c>
      <c r="BP9" s="12">
        <v>0.09</v>
      </c>
      <c r="BQ9" t="s">
        <v>15</v>
      </c>
      <c r="BR9" s="95">
        <f>VLOOKUP(BO9,'Costo Materia Prima'!$D$3:$I$409,6,FALSE)*BP9</f>
        <v>15.749927999999997</v>
      </c>
      <c r="BS9" s="12">
        <f t="shared" si="8"/>
        <v>6.0000000000000005E-2</v>
      </c>
      <c r="BT9" t="s">
        <v>15</v>
      </c>
      <c r="BU9" s="95">
        <f>VLOOKUP(BO9,'Costo Materia Prima'!$D$3:$I$409,6,FALSE)*BS9</f>
        <v>10.499951999999999</v>
      </c>
      <c r="BV9" s="14">
        <f t="shared" ref="BV9:BV24" si="11">BP9/6</f>
        <v>1.4999999999999999E-2</v>
      </c>
      <c r="BW9" t="s">
        <v>15</v>
      </c>
      <c r="BX9" s="95">
        <f>_xlfn.IFNA(VLOOKUP(BO9,'Costo Materia Prima'!$D$3:$I$409,6,FALSE)*BV9,0)</f>
        <v>2.6249879999999997</v>
      </c>
    </row>
    <row r="10" spans="1:76" x14ac:dyDescent="0.2">
      <c r="A10" t="s">
        <v>311</v>
      </c>
      <c r="B10">
        <v>0.84</v>
      </c>
      <c r="C10" t="s">
        <v>15</v>
      </c>
      <c r="D10" s="5">
        <f>VLOOKUP(A10,'Costo Materia Prima'!$D$3:$I$409,6,FALSE)*B10</f>
        <v>130.19999999999999</v>
      </c>
      <c r="E10" s="12">
        <f t="shared" si="0"/>
        <v>0.51333333333333331</v>
      </c>
      <c r="F10" t="s">
        <v>15</v>
      </c>
      <c r="G10" s="78">
        <f>VLOOKUP(A10,'Costo Materia Prima'!$D$3:$I$409,6,FALSE)*E10</f>
        <v>79.566666666666663</v>
      </c>
      <c r="H10">
        <f t="shared" si="9"/>
        <v>0.16799999999999998</v>
      </c>
      <c r="I10" t="s">
        <v>15</v>
      </c>
      <c r="J10" s="78">
        <f>VLOOKUP(A10,'Costo Materia Prima'!$D$3:$I$409,6,FALSE)*H10</f>
        <v>26.039999999999996</v>
      </c>
      <c r="K10" s="78"/>
      <c r="L10" t="s">
        <v>311</v>
      </c>
      <c r="M10">
        <v>0.84</v>
      </c>
      <c r="N10" t="s">
        <v>15</v>
      </c>
      <c r="O10" s="5">
        <f>VLOOKUP(L10,'Costo Materia Prima'!$D$3:$I$409,6,FALSE)*M10</f>
        <v>130.19999999999999</v>
      </c>
      <c r="P10" s="12">
        <f t="shared" si="3"/>
        <v>0.57750000000000001</v>
      </c>
      <c r="Q10" t="s">
        <v>15</v>
      </c>
      <c r="R10" s="5">
        <f>VLOOKUP(L10,'Costo Materia Prima'!$D$3:$I$409,6,FALSE)*P10</f>
        <v>89.512500000000003</v>
      </c>
      <c r="S10">
        <f t="shared" si="4"/>
        <v>0.16799999999999998</v>
      </c>
      <c r="T10" t="s">
        <v>15</v>
      </c>
      <c r="U10" s="78">
        <f>VLOOKUP(L10,'Costo Materia Prima'!$D$3:$I$409,6,FALSE)*S10</f>
        <v>26.039999999999996</v>
      </c>
      <c r="V10" s="5"/>
      <c r="W10" t="s">
        <v>311</v>
      </c>
      <c r="X10">
        <v>0.84</v>
      </c>
      <c r="Y10" t="s">
        <v>15</v>
      </c>
      <c r="Z10" s="5">
        <f>VLOOKUP(W10,'Costo Materia Prima'!$D$3:$I$409,6,FALSE)*X10</f>
        <v>130.19999999999999</v>
      </c>
      <c r="AA10" s="12">
        <f t="shared" ref="AA10:AA17" si="12">($AB$4*X10)/$Y$3</f>
        <v>0.57750000000000001</v>
      </c>
      <c r="AB10" t="s">
        <v>15</v>
      </c>
      <c r="AC10" s="5">
        <f>VLOOKUP(W10,'Costo Materia Prima'!$D$3:$I$409,6,FALSE)*AA10</f>
        <v>89.512500000000003</v>
      </c>
      <c r="AD10" s="12">
        <f t="shared" ref="AD10:AD17" si="13">($AE$4*X10)/$Y$3</f>
        <v>0.16799999999999998</v>
      </c>
      <c r="AE10" t="s">
        <v>15</v>
      </c>
      <c r="AF10" s="5">
        <f>_xlfn.IFNA(VLOOKUP(W10,'Costo Materia Prima'!$D$3:$I$409,6,FALSE)*AD10,0)</f>
        <v>26.039999999999996</v>
      </c>
      <c r="AH10" t="s">
        <v>230</v>
      </c>
      <c r="AI10">
        <v>0.03</v>
      </c>
      <c r="AJ10" t="s">
        <v>15</v>
      </c>
      <c r="AK10" s="5">
        <f>VLOOKUP(AH10,'Costo Materia Prima'!$D$3:$I$409,6,FALSE)*AI10</f>
        <v>0.55499999999999994</v>
      </c>
      <c r="AL10" s="12">
        <f t="shared" si="1"/>
        <v>0.02</v>
      </c>
      <c r="AM10" t="s">
        <v>15</v>
      </c>
      <c r="AN10" s="5">
        <f>_xlfn.IFNA(VLOOKUP(AH10,'Costo Materia Prima'!$D$3:$I$409,6,FALSE)*AL10,"")</f>
        <v>0.37</v>
      </c>
      <c r="AO10" s="12">
        <f t="shared" si="5"/>
        <v>6.0000000000000001E-3</v>
      </c>
      <c r="AP10" t="s">
        <v>15</v>
      </c>
      <c r="AQ10" s="5">
        <f>_xlfn.IFNA(VLOOKUP(AH10,'Costo Materia Prima'!$D$3:$I$409,6,FALSE)*AO10,0)</f>
        <v>0.111</v>
      </c>
      <c r="AS10" t="s">
        <v>311</v>
      </c>
      <c r="AT10">
        <v>0.84</v>
      </c>
      <c r="AU10" t="s">
        <v>15</v>
      </c>
      <c r="AV10" s="5">
        <f>VLOOKUP(AS10,'Costo Materia Prima'!$D$3:$I$409,6,FALSE)*AT10</f>
        <v>130.19999999999999</v>
      </c>
      <c r="AW10" s="12">
        <f t="shared" si="10"/>
        <v>0.55000000000000004</v>
      </c>
      <c r="AX10" t="s">
        <v>15</v>
      </c>
      <c r="AY10" s="5">
        <f>VLOOKUP(AS10,'Costo Materia Prima'!$D$3:$I$409,6,FALSE)*AW10</f>
        <v>85.25</v>
      </c>
      <c r="AZ10">
        <f t="shared" si="2"/>
        <v>0.16799999999999998</v>
      </c>
      <c r="BA10" t="s">
        <v>15</v>
      </c>
      <c r="BB10" s="5">
        <f>_xlfn.IFNA(VLOOKUP(AS10,'Costo Materia Prima'!$D$3:$I$409,6,FALSE)*AZ10,0)</f>
        <v>26.039999999999996</v>
      </c>
      <c r="BD10" t="s">
        <v>124</v>
      </c>
      <c r="BE10" s="12">
        <v>0.04</v>
      </c>
      <c r="BF10" t="s">
        <v>15</v>
      </c>
      <c r="BG10" s="5">
        <f>VLOOKUP(BD10,'Costo Materia Prima'!$D$3:$I$409,6,FALSE)*BE10</f>
        <v>2.0720000000000001</v>
      </c>
      <c r="BH10" s="12">
        <f t="shared" si="6"/>
        <v>2.6666666666666672E-2</v>
      </c>
      <c r="BI10" t="s">
        <v>15</v>
      </c>
      <c r="BJ10" s="5">
        <f>VLOOKUP(BD10,'Costo Materia Prima'!$D$3:$I$409,6,FALSE)*BH10</f>
        <v>1.3813333333333335</v>
      </c>
      <c r="BK10">
        <f t="shared" si="7"/>
        <v>8.0000000000000002E-3</v>
      </c>
      <c r="BL10" t="s">
        <v>15</v>
      </c>
      <c r="BM10" s="5">
        <f>_xlfn.IFNA(VLOOKUP(BD10,'Costo Materia Prima'!$D$3:$I$409,6,FALSE)*BK10,0)</f>
        <v>0.41439999999999999</v>
      </c>
      <c r="BO10" t="s">
        <v>313</v>
      </c>
      <c r="BP10" s="12">
        <v>0.03</v>
      </c>
      <c r="BQ10" t="s">
        <v>15</v>
      </c>
      <c r="BR10" s="95">
        <f>VLOOKUP(BO10,'Costo Materia Prima'!$D$3:$I$409,6,FALSE)*BP10</f>
        <v>5.2499759999999993</v>
      </c>
      <c r="BS10" s="12">
        <f t="shared" si="8"/>
        <v>0.02</v>
      </c>
      <c r="BT10" t="s">
        <v>15</v>
      </c>
      <c r="BU10" s="95">
        <f>VLOOKUP(BO10,'Costo Materia Prima'!$D$3:$I$409,6,FALSE)*BS10</f>
        <v>3.4999839999999995</v>
      </c>
      <c r="BV10" s="14">
        <f t="shared" si="11"/>
        <v>5.0000000000000001E-3</v>
      </c>
      <c r="BW10" t="s">
        <v>15</v>
      </c>
      <c r="BX10" s="95">
        <f>_xlfn.IFNA(VLOOKUP(BO10,'Costo Materia Prima'!$D$3:$I$409,6,FALSE)*BV10,0)</f>
        <v>0.87499599999999988</v>
      </c>
    </row>
    <row r="11" spans="1:76" x14ac:dyDescent="0.2">
      <c r="A11" t="s">
        <v>230</v>
      </c>
      <c r="B11">
        <v>0.03</v>
      </c>
      <c r="C11" t="s">
        <v>15</v>
      </c>
      <c r="D11" s="5">
        <f>VLOOKUP(A11,'Costo Materia Prima'!$D$3:$I$409,6,FALSE)*B11</f>
        <v>0.55499999999999994</v>
      </c>
      <c r="E11" s="12">
        <f t="shared" si="0"/>
        <v>1.8333333333333333E-2</v>
      </c>
      <c r="F11" t="s">
        <v>15</v>
      </c>
      <c r="G11" s="78">
        <f>VLOOKUP(A11,'Costo Materia Prima'!$D$3:$I$409,6,FALSE)*E11</f>
        <v>0.33916666666666667</v>
      </c>
      <c r="H11">
        <f t="shared" si="9"/>
        <v>6.0000000000000001E-3</v>
      </c>
      <c r="I11" t="s">
        <v>15</v>
      </c>
      <c r="J11" s="78">
        <f>VLOOKUP(A11,'Costo Materia Prima'!$D$3:$I$409,6,FALSE)*H11</f>
        <v>0.111</v>
      </c>
      <c r="K11" s="78"/>
      <c r="L11" t="s">
        <v>230</v>
      </c>
      <c r="M11">
        <v>0.03</v>
      </c>
      <c r="N11" t="s">
        <v>15</v>
      </c>
      <c r="O11" s="5">
        <f>VLOOKUP(L11,'Costo Materia Prima'!$D$3:$I$409,6,FALSE)*M11</f>
        <v>0.55499999999999994</v>
      </c>
      <c r="P11" s="12">
        <f t="shared" si="3"/>
        <v>2.0625000000000001E-2</v>
      </c>
      <c r="Q11" t="s">
        <v>15</v>
      </c>
      <c r="R11" s="5">
        <f>VLOOKUP(L11,'Costo Materia Prima'!$D$3:$I$409,6,FALSE)*P11</f>
        <v>0.38156250000000003</v>
      </c>
      <c r="S11">
        <f t="shared" si="4"/>
        <v>5.9999999999999993E-3</v>
      </c>
      <c r="T11" t="s">
        <v>15</v>
      </c>
      <c r="U11" s="78">
        <f>VLOOKUP(L11,'Costo Materia Prima'!$D$3:$I$409,6,FALSE)*S11</f>
        <v>0.11099999999999999</v>
      </c>
      <c r="V11" s="5"/>
      <c r="W11" t="s">
        <v>230</v>
      </c>
      <c r="X11">
        <v>0.03</v>
      </c>
      <c r="Y11" t="s">
        <v>15</v>
      </c>
      <c r="Z11" s="5">
        <f>VLOOKUP(W11,'Costo Materia Prima'!$D$3:$I$409,6,FALSE)*X11</f>
        <v>0.55499999999999994</v>
      </c>
      <c r="AA11" s="12">
        <f t="shared" si="12"/>
        <v>2.0625000000000001E-2</v>
      </c>
      <c r="AB11" t="s">
        <v>15</v>
      </c>
      <c r="AC11" s="5">
        <f>VLOOKUP(W11,'Costo Materia Prima'!$D$3:$I$409,6,FALSE)*AA11</f>
        <v>0.38156250000000003</v>
      </c>
      <c r="AD11" s="12">
        <f t="shared" si="13"/>
        <v>5.9999999999999993E-3</v>
      </c>
      <c r="AE11" t="s">
        <v>15</v>
      </c>
      <c r="AF11" s="5">
        <f>_xlfn.IFNA(VLOOKUP(W11,'Costo Materia Prima'!$D$3:$I$409,6,FALSE)*AD11,0)</f>
        <v>0.11099999999999999</v>
      </c>
      <c r="AH11" t="s">
        <v>22</v>
      </c>
      <c r="AI11">
        <v>0.25</v>
      </c>
      <c r="AJ11" t="s">
        <v>15</v>
      </c>
      <c r="AK11" s="5">
        <f>VLOOKUP(AH11,'Costo Materia Prima'!$D$3:$I$409,6,FALSE)*AI11</f>
        <v>14.583333333333334</v>
      </c>
      <c r="AL11" s="12">
        <f t="shared" si="1"/>
        <v>0.16666666666666669</v>
      </c>
      <c r="AM11" t="s">
        <v>15</v>
      </c>
      <c r="AN11" s="5">
        <f>_xlfn.IFNA(VLOOKUP(AH11,'Costo Materia Prima'!$D$3:$I$409,6,FALSE)*AL11,"")</f>
        <v>9.7222222222222232</v>
      </c>
      <c r="AO11" s="12">
        <f t="shared" si="5"/>
        <v>4.9999999999999996E-2</v>
      </c>
      <c r="AP11" t="s">
        <v>15</v>
      </c>
      <c r="AQ11" s="5">
        <f>_xlfn.IFNA(VLOOKUP(AH11,'Costo Materia Prima'!$D$3:$I$409,6,FALSE)*AO11,0)</f>
        <v>2.9166666666666665</v>
      </c>
      <c r="AS11" t="s">
        <v>230</v>
      </c>
      <c r="AT11">
        <v>0.03</v>
      </c>
      <c r="AU11" t="s">
        <v>15</v>
      </c>
      <c r="AV11" s="5">
        <f>VLOOKUP(AS11,'Costo Materia Prima'!$D$3:$I$409,6,FALSE)*AT11</f>
        <v>0.55499999999999994</v>
      </c>
      <c r="AW11" s="12">
        <f t="shared" si="10"/>
        <v>1.9642857142857146E-2</v>
      </c>
      <c r="AX11" t="s">
        <v>15</v>
      </c>
      <c r="AY11" s="5">
        <f>VLOOKUP(AS11,'Costo Materia Prima'!$D$3:$I$409,6,FALSE)*AW11</f>
        <v>0.36339285714285718</v>
      </c>
      <c r="AZ11">
        <f t="shared" si="2"/>
        <v>6.0000000000000001E-3</v>
      </c>
      <c r="BA11" t="s">
        <v>15</v>
      </c>
      <c r="BB11" s="5">
        <f>_xlfn.IFNA(VLOOKUP(AS11,'Costo Materia Prima'!$D$3:$I$409,6,FALSE)*AZ11,0)</f>
        <v>0.111</v>
      </c>
      <c r="BD11" t="s">
        <v>313</v>
      </c>
      <c r="BE11" s="12">
        <v>0.03</v>
      </c>
      <c r="BF11" t="s">
        <v>15</v>
      </c>
      <c r="BG11" s="5">
        <f>VLOOKUP(BD11,'Costo Materia Prima'!$D$3:$I$409,6,FALSE)*BE11</f>
        <v>5.2499759999999993</v>
      </c>
      <c r="BH11" s="12">
        <f t="shared" si="6"/>
        <v>0.02</v>
      </c>
      <c r="BI11" t="s">
        <v>15</v>
      </c>
      <c r="BJ11" s="5">
        <f>VLOOKUP(BD11,'Costo Materia Prima'!$D$3:$I$409,6,FALSE)*BH11</f>
        <v>3.4999839999999995</v>
      </c>
      <c r="BK11">
        <f t="shared" si="7"/>
        <v>6.0000000000000001E-3</v>
      </c>
      <c r="BL11" t="s">
        <v>15</v>
      </c>
      <c r="BM11" s="5">
        <f>_xlfn.IFNA(VLOOKUP(BD11,'Costo Materia Prima'!$D$3:$I$409,6,FALSE)*BK11,0)</f>
        <v>1.0499951999999999</v>
      </c>
      <c r="BO11" t="s">
        <v>124</v>
      </c>
      <c r="BP11" s="12">
        <v>0.11</v>
      </c>
      <c r="BQ11" t="s">
        <v>15</v>
      </c>
      <c r="BR11" s="95">
        <f>VLOOKUP(BO11,'Costo Materia Prima'!$D$3:$I$409,6,FALSE)*BP11</f>
        <v>5.6979999999999995</v>
      </c>
      <c r="BS11" s="12">
        <f t="shared" si="8"/>
        <v>7.3333333333333348E-2</v>
      </c>
      <c r="BT11" t="s">
        <v>15</v>
      </c>
      <c r="BU11" s="95">
        <f>VLOOKUP(BO11,'Costo Materia Prima'!$D$3:$I$409,6,FALSE)*BS11</f>
        <v>3.7986666666666671</v>
      </c>
      <c r="BV11" s="14">
        <f t="shared" si="11"/>
        <v>1.8333333333333333E-2</v>
      </c>
      <c r="BW11" t="s">
        <v>15</v>
      </c>
      <c r="BX11" s="95">
        <f>_xlfn.IFNA(VLOOKUP(BO11,'Costo Materia Prima'!$D$3:$I$409,6,FALSE)*BV11,0)</f>
        <v>0.94966666666666666</v>
      </c>
    </row>
    <row r="12" spans="1:76" x14ac:dyDescent="0.2">
      <c r="A12" t="s">
        <v>22</v>
      </c>
      <c r="B12">
        <v>0.25</v>
      </c>
      <c r="C12" t="s">
        <v>18</v>
      </c>
      <c r="D12" s="5">
        <f>VLOOKUP(A12,'Costo Materia Prima'!$D$3:$I$409,6,FALSE)*B12</f>
        <v>14.583333333333334</v>
      </c>
      <c r="E12" s="12">
        <f t="shared" si="0"/>
        <v>0.15277777777777779</v>
      </c>
      <c r="F12" t="s">
        <v>15</v>
      </c>
      <c r="G12" s="78">
        <f>VLOOKUP(A12,'Costo Materia Prima'!$D$3:$I$409,6,FALSE)*E12</f>
        <v>8.9120370370370381</v>
      </c>
      <c r="H12">
        <f t="shared" si="9"/>
        <v>0.05</v>
      </c>
      <c r="I12" t="s">
        <v>15</v>
      </c>
      <c r="J12" s="78">
        <f>VLOOKUP(A12,'Costo Materia Prima'!$D$3:$I$409,6,FALSE)*H12</f>
        <v>2.916666666666667</v>
      </c>
      <c r="K12" s="78"/>
      <c r="L12" t="s">
        <v>22</v>
      </c>
      <c r="M12">
        <v>0.25</v>
      </c>
      <c r="N12" t="s">
        <v>18</v>
      </c>
      <c r="O12" s="5">
        <f>VLOOKUP(L12,'Costo Materia Prima'!$D$3:$I$409,6,FALSE)*M12</f>
        <v>14.583333333333334</v>
      </c>
      <c r="P12" s="12">
        <f t="shared" si="3"/>
        <v>0.171875</v>
      </c>
      <c r="Q12" t="s">
        <v>15</v>
      </c>
      <c r="R12" s="5">
        <f>VLOOKUP(L12,'Costo Materia Prima'!$D$3:$I$409,6,FALSE)*P12</f>
        <v>10.026041666666668</v>
      </c>
      <c r="S12">
        <f t="shared" si="4"/>
        <v>4.9999999999999996E-2</v>
      </c>
      <c r="T12" t="s">
        <v>15</v>
      </c>
      <c r="U12" s="78">
        <f>VLOOKUP(L12,'Costo Materia Prima'!$D$3:$I$409,6,FALSE)*S12</f>
        <v>2.9166666666666665</v>
      </c>
      <c r="V12" s="5"/>
      <c r="W12" t="s">
        <v>22</v>
      </c>
      <c r="X12">
        <v>0.25</v>
      </c>
      <c r="Y12" t="s">
        <v>15</v>
      </c>
      <c r="Z12" s="5">
        <f>VLOOKUP(W12,'Costo Materia Prima'!$D$3:$I$409,6,FALSE)*X12</f>
        <v>14.583333333333334</v>
      </c>
      <c r="AA12" s="12">
        <f t="shared" si="12"/>
        <v>0.171875</v>
      </c>
      <c r="AB12" t="s">
        <v>15</v>
      </c>
      <c r="AC12" s="5">
        <f>VLOOKUP(W12,'Costo Materia Prima'!$D$3:$I$409,6,FALSE)*AA12</f>
        <v>10.026041666666668</v>
      </c>
      <c r="AD12" s="12">
        <f t="shared" si="13"/>
        <v>4.9999999999999996E-2</v>
      </c>
      <c r="AE12" t="s">
        <v>18</v>
      </c>
      <c r="AF12" s="5">
        <f>_xlfn.IFNA(VLOOKUP(W12,'Costo Materia Prima'!$D$3:$I$409,6,FALSE)*AD12,0)</f>
        <v>2.9166666666666665</v>
      </c>
      <c r="AH12" t="s">
        <v>183</v>
      </c>
      <c r="AI12">
        <v>0.01</v>
      </c>
      <c r="AJ12" t="s">
        <v>18</v>
      </c>
      <c r="AK12" s="5">
        <f>VLOOKUP(AH12,'Costo Materia Prima'!$D$3:$I$409,6,FALSE)*AI12</f>
        <v>0.69621718750000006</v>
      </c>
      <c r="AL12" s="12">
        <f t="shared" si="1"/>
        <v>6.666666666666668E-3</v>
      </c>
      <c r="AM12" t="s">
        <v>18</v>
      </c>
      <c r="AN12" s="5">
        <f>_xlfn.IFNA(VLOOKUP(AH12,'Costo Materia Prima'!$D$3:$I$409,6,FALSE)*AL12,"")</f>
        <v>0.46414479166666678</v>
      </c>
      <c r="AO12" s="12">
        <f t="shared" si="5"/>
        <v>2E-3</v>
      </c>
      <c r="AP12" t="s">
        <v>18</v>
      </c>
      <c r="AQ12" s="5">
        <f>_xlfn.IFNA(VLOOKUP(AH12,'Costo Materia Prima'!$D$3:$I$409,6,FALSE)*AO12,0)</f>
        <v>0.13924343750000001</v>
      </c>
      <c r="AS12" t="s">
        <v>22</v>
      </c>
      <c r="AT12">
        <v>0.25</v>
      </c>
      <c r="AU12" t="s">
        <v>15</v>
      </c>
      <c r="AV12" s="5">
        <f>VLOOKUP(AS12,'Costo Materia Prima'!$D$3:$I$409,6,FALSE)*AT12</f>
        <v>14.583333333333334</v>
      </c>
      <c r="AW12" s="12">
        <f t="shared" si="10"/>
        <v>0.16369047619047622</v>
      </c>
      <c r="AX12" t="s">
        <v>15</v>
      </c>
      <c r="AY12" s="5">
        <f>VLOOKUP(AS12,'Costo Materia Prima'!$D$3:$I$409,6,FALSE)*AW12</f>
        <v>9.5486111111111125</v>
      </c>
      <c r="AZ12">
        <f t="shared" si="2"/>
        <v>0.05</v>
      </c>
      <c r="BA12" t="s">
        <v>15</v>
      </c>
      <c r="BB12" s="5">
        <f>_xlfn.IFNA(VLOOKUP(AS12,'Costo Materia Prima'!$D$3:$I$409,6,FALSE)*AZ12,0)</f>
        <v>2.916666666666667</v>
      </c>
      <c r="BD12" t="s">
        <v>124</v>
      </c>
      <c r="BE12" s="12">
        <v>0.11</v>
      </c>
      <c r="BF12" t="s">
        <v>15</v>
      </c>
      <c r="BG12" s="5">
        <f>VLOOKUP(BD12,'Costo Materia Prima'!$D$3:$I$409,6,FALSE)*BE12</f>
        <v>5.6979999999999995</v>
      </c>
      <c r="BH12" s="12">
        <f t="shared" si="6"/>
        <v>7.3333333333333348E-2</v>
      </c>
      <c r="BI12" t="s">
        <v>15</v>
      </c>
      <c r="BJ12" s="5">
        <f>VLOOKUP(BD12,'Costo Materia Prima'!$D$3:$I$409,6,FALSE)*BH12</f>
        <v>3.7986666666666671</v>
      </c>
      <c r="BK12">
        <f t="shared" si="7"/>
        <v>2.1999999999999999E-2</v>
      </c>
      <c r="BL12" t="s">
        <v>15</v>
      </c>
      <c r="BM12" s="5">
        <f>_xlfn.IFNA(VLOOKUP(BD12,'Costo Materia Prima'!$D$3:$I$409,6,FALSE)*BK12,0)</f>
        <v>1.1395999999999999</v>
      </c>
      <c r="BO12" t="s">
        <v>279</v>
      </c>
      <c r="BP12" s="12">
        <v>2E-3</v>
      </c>
      <c r="BQ12" t="s">
        <v>15</v>
      </c>
      <c r="BR12" s="95">
        <f>VLOOKUP(BO12,'Costo Materia Prima'!$D$3:$I$409,6,FALSE)*BP12</f>
        <v>0.58635454545454535</v>
      </c>
      <c r="BS12" s="12">
        <f t="shared" si="8"/>
        <v>1.3333333333333335E-3</v>
      </c>
      <c r="BT12" t="s">
        <v>15</v>
      </c>
      <c r="BU12" s="95">
        <f>VLOOKUP(BO12,'Costo Materia Prima'!$D$3:$I$409,6,FALSE)*BS12</f>
        <v>0.39090303030303031</v>
      </c>
      <c r="BV12" s="14">
        <f t="shared" si="11"/>
        <v>3.3333333333333332E-4</v>
      </c>
      <c r="BW12" t="s">
        <v>15</v>
      </c>
      <c r="BX12" s="95">
        <f>_xlfn.IFNA(VLOOKUP(BO12,'Costo Materia Prima'!$D$3:$I$409,6,FALSE)*BV12,0)</f>
        <v>9.7725757575757563E-2</v>
      </c>
    </row>
    <row r="13" spans="1:76" x14ac:dyDescent="0.2">
      <c r="A13" t="s">
        <v>183</v>
      </c>
      <c r="B13">
        <v>0.01</v>
      </c>
      <c r="C13" t="s">
        <v>18</v>
      </c>
      <c r="D13" s="5">
        <f>VLOOKUP(A13,'Costo Materia Prima'!$D$3:$I$409,6,FALSE)*B13</f>
        <v>0.69621718750000006</v>
      </c>
      <c r="E13" s="12">
        <f t="shared" si="0"/>
        <v>6.1111111111111114E-3</v>
      </c>
      <c r="F13" t="s">
        <v>18</v>
      </c>
      <c r="G13" s="78">
        <f>VLOOKUP(A13,'Costo Materia Prima'!$D$3:$I$409,6,FALSE)*E13</f>
        <v>0.42546605902777779</v>
      </c>
      <c r="H13">
        <f t="shared" si="9"/>
        <v>2E-3</v>
      </c>
      <c r="I13" t="s">
        <v>18</v>
      </c>
      <c r="J13" s="78">
        <f>VLOOKUP(A13,'Costo Materia Prima'!$D$3:$I$409,6,FALSE)*H13</f>
        <v>0.13924343750000001</v>
      </c>
      <c r="K13" s="78"/>
      <c r="L13" t="s">
        <v>183</v>
      </c>
      <c r="M13">
        <v>0.01</v>
      </c>
      <c r="N13" t="s">
        <v>18</v>
      </c>
      <c r="O13" s="5">
        <f>VLOOKUP(L13,'Costo Materia Prima'!$D$3:$I$409,6,FALSE)*M13</f>
        <v>0.69621718750000006</v>
      </c>
      <c r="P13" s="12">
        <f t="shared" si="3"/>
        <v>6.875E-3</v>
      </c>
      <c r="Q13" t="s">
        <v>18</v>
      </c>
      <c r="R13" s="5">
        <f>VLOOKUP(L13,'Costo Materia Prima'!$D$3:$I$409,6,FALSE)*P13</f>
        <v>0.47864931640625002</v>
      </c>
      <c r="S13">
        <f t="shared" si="4"/>
        <v>2E-3</v>
      </c>
      <c r="T13" t="s">
        <v>18</v>
      </c>
      <c r="U13" s="78">
        <f>VLOOKUP(L13,'Costo Materia Prima'!$D$3:$I$409,6,FALSE)*S13</f>
        <v>0.13924343750000001</v>
      </c>
      <c r="V13" s="5"/>
      <c r="W13" t="s">
        <v>183</v>
      </c>
      <c r="X13">
        <v>0.01</v>
      </c>
      <c r="Y13" t="s">
        <v>18</v>
      </c>
      <c r="Z13" s="5">
        <f>VLOOKUP(W13,'Costo Materia Prima'!$D$3:$I$409,6,FALSE)*X13</f>
        <v>0.69621718750000006</v>
      </c>
      <c r="AA13" s="12">
        <f t="shared" si="12"/>
        <v>6.875E-3</v>
      </c>
      <c r="AB13" t="s">
        <v>18</v>
      </c>
      <c r="AC13" s="5">
        <f>VLOOKUP(W13,'Costo Materia Prima'!$D$3:$I$409,6,FALSE)*AA13</f>
        <v>0.47864931640625002</v>
      </c>
      <c r="AD13" s="12">
        <f t="shared" si="13"/>
        <v>2E-3</v>
      </c>
      <c r="AE13" t="s">
        <v>18</v>
      </c>
      <c r="AF13" s="5">
        <f>_xlfn.IFNA(VLOOKUP(W13,'Costo Materia Prima'!$D$3:$I$409,6,FALSE)*AD13,0)</f>
        <v>0.13924343750000001</v>
      </c>
      <c r="AH13" t="s">
        <v>132</v>
      </c>
      <c r="AI13">
        <v>5</v>
      </c>
      <c r="AJ13" t="s">
        <v>21</v>
      </c>
      <c r="AK13" s="5">
        <f>_xlfn.IFNA(VLOOKUP(AH13,'Costo Materia Prima'!$D$3:$I$409,6,FALSE)*AI13,"")</f>
        <v>9.0283333333333324</v>
      </c>
      <c r="AL13" s="12">
        <f t="shared" si="1"/>
        <v>3.3333333333333335</v>
      </c>
      <c r="AM13" t="s">
        <v>21</v>
      </c>
      <c r="AN13" s="5">
        <f>_xlfn.IFNA(VLOOKUP(AH13,'Costo Materia Prima'!$D$3:$I$409,6,FALSE)*AL13,"")</f>
        <v>6.0188888888888883</v>
      </c>
      <c r="AO13" s="12">
        <f t="shared" si="5"/>
        <v>1</v>
      </c>
      <c r="AP13" t="s">
        <v>21</v>
      </c>
      <c r="AQ13" s="5">
        <f>_xlfn.IFNA(VLOOKUP(AH13,'Costo Materia Prima'!$D$3:$I$409,6,FALSE)*AO13,0)</f>
        <v>1.8056666666666665</v>
      </c>
      <c r="AS13" t="s">
        <v>183</v>
      </c>
      <c r="AT13">
        <v>0.01</v>
      </c>
      <c r="AU13" t="s">
        <v>18</v>
      </c>
      <c r="AV13" s="5">
        <f>VLOOKUP(AS13,'Costo Materia Prima'!$D$3:$I$409,6,FALSE)*AT13</f>
        <v>0.69621718750000006</v>
      </c>
      <c r="AW13" s="12">
        <f t="shared" si="10"/>
        <v>6.5476190476190486E-3</v>
      </c>
      <c r="AX13" t="s">
        <v>18</v>
      </c>
      <c r="AY13" s="5">
        <f>VLOOKUP(AS13,'Costo Materia Prima'!$D$3:$I$409,6,FALSE)*AW13</f>
        <v>0.45585649181547627</v>
      </c>
      <c r="AZ13">
        <f t="shared" si="2"/>
        <v>2E-3</v>
      </c>
      <c r="BA13" t="s">
        <v>18</v>
      </c>
      <c r="BB13" s="5">
        <f>_xlfn.IFNA(VLOOKUP(AS13,'Costo Materia Prima'!$D$3:$I$409,6,FALSE)*AZ13,0)</f>
        <v>0.13924343750000001</v>
      </c>
      <c r="BD13" t="s">
        <v>279</v>
      </c>
      <c r="BE13" s="12">
        <v>2E-3</v>
      </c>
      <c r="BF13" t="s">
        <v>15</v>
      </c>
      <c r="BG13" s="5">
        <f>VLOOKUP(BD13,'Costo Materia Prima'!$D$3:$I$409,6,FALSE)*BE13</f>
        <v>0.58635454545454535</v>
      </c>
      <c r="BH13" s="12">
        <f t="shared" si="6"/>
        <v>1.3333333333333335E-3</v>
      </c>
      <c r="BI13" t="s">
        <v>15</v>
      </c>
      <c r="BJ13" s="5">
        <f>VLOOKUP(BD13,'Costo Materia Prima'!$D$3:$I$409,6,FALSE)*BH13</f>
        <v>0.39090303030303031</v>
      </c>
      <c r="BK13">
        <f t="shared" si="7"/>
        <v>4.0000000000000002E-4</v>
      </c>
      <c r="BL13" t="s">
        <v>15</v>
      </c>
      <c r="BM13" s="5">
        <f>_xlfn.IFNA(VLOOKUP(BD13,'Costo Materia Prima'!$D$3:$I$409,6,FALSE)*BK13,0)</f>
        <v>0.11727090909090908</v>
      </c>
      <c r="BO13" t="s">
        <v>230</v>
      </c>
      <c r="BP13" s="12">
        <v>0.02</v>
      </c>
      <c r="BQ13" t="s">
        <v>15</v>
      </c>
      <c r="BR13" s="95">
        <f>VLOOKUP(BO13,'Costo Materia Prima'!$D$3:$I$409,6,FALSE)*BP13</f>
        <v>0.37</v>
      </c>
      <c r="BS13" s="12">
        <f t="shared" si="8"/>
        <v>1.3333333333333336E-2</v>
      </c>
      <c r="BT13" t="s">
        <v>15</v>
      </c>
      <c r="BU13" s="95">
        <f>VLOOKUP(BO13,'Costo Materia Prima'!$D$3:$I$409,6,FALSE)*BS13</f>
        <v>0.2466666666666667</v>
      </c>
      <c r="BV13" s="14">
        <f t="shared" si="11"/>
        <v>3.3333333333333335E-3</v>
      </c>
      <c r="BW13" t="s">
        <v>15</v>
      </c>
      <c r="BX13" s="95">
        <f>_xlfn.IFNA(VLOOKUP(BO13,'Costo Materia Prima'!$D$3:$I$409,6,FALSE)*BV13,0)</f>
        <v>6.1666666666666668E-2</v>
      </c>
    </row>
    <row r="14" spans="1:76" x14ac:dyDescent="0.2">
      <c r="A14" t="s">
        <v>132</v>
      </c>
      <c r="B14">
        <v>5</v>
      </c>
      <c r="C14" t="s">
        <v>21</v>
      </c>
      <c r="D14" s="5">
        <f>VLOOKUP(A14,'Costo Materia Prima'!$D$3:$I$409,6,FALSE)*B14</f>
        <v>9.0283333333333324</v>
      </c>
      <c r="E14" s="12">
        <f t="shared" si="0"/>
        <v>3.0555555555555554</v>
      </c>
      <c r="F14" t="s">
        <v>21</v>
      </c>
      <c r="G14" s="78">
        <f>VLOOKUP(A14,'Costo Materia Prima'!$D$3:$I$409,6,FALSE)*E14</f>
        <v>5.5173148148148137</v>
      </c>
      <c r="H14">
        <f t="shared" si="9"/>
        <v>1</v>
      </c>
      <c r="I14" t="s">
        <v>21</v>
      </c>
      <c r="J14" s="78">
        <f>VLOOKUP(A14,'Costo Materia Prima'!$D$3:$I$409,6,FALSE)*H14</f>
        <v>1.8056666666666665</v>
      </c>
      <c r="K14" s="78"/>
      <c r="L14" t="s">
        <v>132</v>
      </c>
      <c r="M14">
        <v>5</v>
      </c>
      <c r="N14" t="s">
        <v>21</v>
      </c>
      <c r="O14" s="5">
        <f>VLOOKUP(L14,'Costo Materia Prima'!$D$3:$I$409,6,FALSE)*M14</f>
        <v>9.0283333333333324</v>
      </c>
      <c r="P14" s="12">
        <f t="shared" si="3"/>
        <v>3.4375</v>
      </c>
      <c r="Q14" t="s">
        <v>21</v>
      </c>
      <c r="R14" s="5">
        <f>VLOOKUP(L14,'Costo Materia Prima'!$D$3:$I$409,6,FALSE)*P14</f>
        <v>6.2069791666666658</v>
      </c>
      <c r="S14">
        <f t="shared" si="4"/>
        <v>1</v>
      </c>
      <c r="T14" t="s">
        <v>21</v>
      </c>
      <c r="U14" s="78">
        <f>VLOOKUP(L14,'Costo Materia Prima'!$D$3:$I$409,6,FALSE)*S14</f>
        <v>1.8056666666666665</v>
      </c>
      <c r="V14" s="5"/>
      <c r="W14" t="s">
        <v>132</v>
      </c>
      <c r="X14">
        <v>5</v>
      </c>
      <c r="Y14" t="s">
        <v>21</v>
      </c>
      <c r="Z14" s="5">
        <f>VLOOKUP(W14,'Costo Materia Prima'!$D$3:$I$409,6,FALSE)*X14</f>
        <v>9.0283333333333324</v>
      </c>
      <c r="AA14" s="12">
        <f t="shared" si="12"/>
        <v>3.4375</v>
      </c>
      <c r="AB14" t="s">
        <v>21</v>
      </c>
      <c r="AC14" s="5">
        <f>VLOOKUP(W14,'Costo Materia Prima'!$D$3:$I$409,6,FALSE)*AA14</f>
        <v>6.2069791666666658</v>
      </c>
      <c r="AD14" s="12">
        <f t="shared" si="13"/>
        <v>1</v>
      </c>
      <c r="AE14" t="s">
        <v>21</v>
      </c>
      <c r="AF14" s="5">
        <f>_xlfn.IFNA(VLOOKUP(W14,'Costo Materia Prima'!$D$3:$I$409,6,FALSE)*AD14,0)</f>
        <v>1.8056666666666665</v>
      </c>
      <c r="AH14" t="s">
        <v>279</v>
      </c>
      <c r="AI14">
        <v>2E-3</v>
      </c>
      <c r="AJ14" t="s">
        <v>15</v>
      </c>
      <c r="AK14" s="5">
        <f>_xlfn.IFNA(VLOOKUP(AH14,'Costo Materia Prima'!$D$3:$I$409,6,FALSE)*AI14,"")</f>
        <v>0.58635454545454535</v>
      </c>
      <c r="AL14" s="12">
        <f t="shared" si="1"/>
        <v>1.3333333333333335E-3</v>
      </c>
      <c r="AM14" t="s">
        <v>15</v>
      </c>
      <c r="AN14" s="5">
        <f>_xlfn.IFNA(VLOOKUP(AH14,'Costo Materia Prima'!$D$3:$I$409,6,FALSE)*AL14,"")</f>
        <v>0.39090303030303031</v>
      </c>
      <c r="AO14" s="12">
        <v>2E-3</v>
      </c>
      <c r="AP14" t="s">
        <v>15</v>
      </c>
      <c r="AQ14" s="5">
        <f>_xlfn.IFNA(VLOOKUP(AH14,'Costo Materia Prima'!$D$3:$I$409,6,FALSE)*AO14,0)</f>
        <v>0.58635454545454535</v>
      </c>
      <c r="AS14" t="s">
        <v>132</v>
      </c>
      <c r="AT14">
        <v>5</v>
      </c>
      <c r="AU14" t="s">
        <v>21</v>
      </c>
      <c r="AV14" s="5">
        <f>VLOOKUP(AS14,'Costo Materia Prima'!$D$3:$I$409,6,FALSE)*AT14</f>
        <v>9.0283333333333324</v>
      </c>
      <c r="AW14" s="12">
        <f t="shared" si="10"/>
        <v>3.2738095238095237</v>
      </c>
      <c r="AX14" t="s">
        <v>21</v>
      </c>
      <c r="AY14" s="5">
        <f>VLOOKUP(AS14,'Costo Materia Prima'!$D$3:$I$409,6,FALSE)*AW14</f>
        <v>5.9114087301587297</v>
      </c>
      <c r="AZ14">
        <f t="shared" si="2"/>
        <v>1</v>
      </c>
      <c r="BA14" t="s">
        <v>21</v>
      </c>
      <c r="BB14" s="5">
        <f>_xlfn.IFNA(VLOOKUP(AS14,'Costo Materia Prima'!$D$3:$I$409,6,FALSE)*AZ14,0)</f>
        <v>1.8056666666666665</v>
      </c>
      <c r="BD14" t="s">
        <v>230</v>
      </c>
      <c r="BE14" s="12">
        <v>0.02</v>
      </c>
      <c r="BF14" t="s">
        <v>15</v>
      </c>
      <c r="BG14" s="5">
        <f>VLOOKUP(BD14,'Costo Materia Prima'!$D$3:$I$409,6,FALSE)*BE14</f>
        <v>0.37</v>
      </c>
      <c r="BH14" s="12">
        <f t="shared" si="6"/>
        <v>1.3333333333333336E-2</v>
      </c>
      <c r="BI14" t="s">
        <v>15</v>
      </c>
      <c r="BJ14" s="5">
        <f>VLOOKUP(BD14,'Costo Materia Prima'!$D$3:$I$409,6,FALSE)*BH14</f>
        <v>0.2466666666666667</v>
      </c>
      <c r="BK14">
        <f t="shared" si="7"/>
        <v>4.0000000000000001E-3</v>
      </c>
      <c r="BL14" t="s">
        <v>15</v>
      </c>
      <c r="BM14" s="5">
        <f>_xlfn.IFNA(VLOOKUP(BD14,'Costo Materia Prima'!$D$3:$I$409,6,FALSE)*BK14,0)</f>
        <v>7.3999999999999996E-2</v>
      </c>
      <c r="BO14" t="s">
        <v>311</v>
      </c>
      <c r="BP14">
        <v>0.84</v>
      </c>
      <c r="BQ14" t="s">
        <v>15</v>
      </c>
      <c r="BR14" s="95">
        <f>VLOOKUP(BO14,'Costo Materia Prima'!$D$3:$I$409,6,FALSE)*BP14</f>
        <v>130.19999999999999</v>
      </c>
      <c r="BS14" s="12">
        <f t="shared" si="8"/>
        <v>0.56000000000000005</v>
      </c>
      <c r="BT14" t="s">
        <v>15</v>
      </c>
      <c r="BU14" s="95">
        <f>VLOOKUP(BO14,'Costo Materia Prima'!$D$3:$I$409,6,FALSE)*BS14</f>
        <v>86.800000000000011</v>
      </c>
      <c r="BV14" s="14">
        <f t="shared" si="11"/>
        <v>0.13999999999999999</v>
      </c>
      <c r="BW14" t="s">
        <v>15</v>
      </c>
      <c r="BX14" s="95">
        <f>_xlfn.IFNA(VLOOKUP(BO14,'Costo Materia Prima'!$D$3:$I$409,6,FALSE)*BV14,0)</f>
        <v>21.7</v>
      </c>
    </row>
    <row r="15" spans="1:76" x14ac:dyDescent="0.2">
      <c r="A15" t="s">
        <v>90</v>
      </c>
      <c r="B15">
        <v>0.21</v>
      </c>
      <c r="C15" t="s">
        <v>15</v>
      </c>
      <c r="D15" s="5">
        <f>VLOOKUP(A15,'Costo Materia Prima'!$D$3:$I$409,6,FALSE)*B15</f>
        <v>66.300412499999993</v>
      </c>
      <c r="E15" s="12">
        <f t="shared" si="0"/>
        <v>0.12833333333333333</v>
      </c>
      <c r="F15" t="s">
        <v>15</v>
      </c>
      <c r="G15" s="78">
        <f>VLOOKUP(A15,'Costo Materia Prima'!$D$3:$I$409,6,FALSE)*E15</f>
        <v>40.516918749999995</v>
      </c>
      <c r="H15">
        <v>0.02</v>
      </c>
      <c r="I15" t="s">
        <v>15</v>
      </c>
      <c r="J15" s="78">
        <f>VLOOKUP(A15,'Costo Materia Prima'!$D$3:$I$409,6,FALSE)*H15</f>
        <v>6.3143250000000002</v>
      </c>
      <c r="K15" s="78"/>
      <c r="L15" t="s">
        <v>500</v>
      </c>
      <c r="M15">
        <v>2.5000000000000001E-2</v>
      </c>
      <c r="N15" t="s">
        <v>15</v>
      </c>
      <c r="O15" s="5">
        <f>M15*'Insumos 1'!G64</f>
        <v>2.7204870943381665</v>
      </c>
      <c r="P15" s="12">
        <f t="shared" si="3"/>
        <v>1.7187500000000001E-2</v>
      </c>
      <c r="Q15" t="s">
        <v>15</v>
      </c>
      <c r="R15" s="5">
        <f>P15*'Insumos 1'!G64</f>
        <v>1.8703348773574895</v>
      </c>
      <c r="S15">
        <v>8.0000000000000002E-3</v>
      </c>
      <c r="T15" t="s">
        <v>15</v>
      </c>
      <c r="U15" s="78">
        <f>S15*'Insumos 1'!G64</f>
        <v>0.87055587018821323</v>
      </c>
      <c r="V15" s="5"/>
      <c r="W15" t="s">
        <v>500</v>
      </c>
      <c r="X15">
        <v>0.04</v>
      </c>
      <c r="Y15" t="s">
        <v>15</v>
      </c>
      <c r="Z15" s="5">
        <f>'Insumos 1'!G64*X15</f>
        <v>4.3527793509410664</v>
      </c>
      <c r="AA15" s="12">
        <f t="shared" si="12"/>
        <v>2.75E-2</v>
      </c>
      <c r="AB15" t="s">
        <v>15</v>
      </c>
      <c r="AC15" s="5">
        <f>'Insumos 1'!G64*AA15</f>
        <v>2.9925358037719829</v>
      </c>
      <c r="AD15" s="12">
        <f t="shared" si="13"/>
        <v>8.0000000000000002E-3</v>
      </c>
      <c r="AE15" t="s">
        <v>15</v>
      </c>
      <c r="AF15" s="5">
        <f>AD15*'Insumos 1'!G64</f>
        <v>0.87055587018821323</v>
      </c>
      <c r="AH15" t="s">
        <v>284</v>
      </c>
      <c r="AI15">
        <v>0.25</v>
      </c>
      <c r="AJ15" t="s">
        <v>15</v>
      </c>
      <c r="AK15" s="5">
        <f>VLOOKUP(AH15,'Costo Materia Prima'!$D$3:$I$409,6,FALSE)*AI15</f>
        <v>6.375</v>
      </c>
      <c r="AL15" s="12">
        <f t="shared" si="1"/>
        <v>0.16666666666666669</v>
      </c>
      <c r="AM15" t="s">
        <v>15</v>
      </c>
      <c r="AN15" s="5">
        <f>_xlfn.IFNA(VLOOKUP(AH15,'Costo Materia Prima'!$D$3:$I$409,6,FALSE)*AL15,"")</f>
        <v>4.2500000000000009</v>
      </c>
      <c r="AO15" s="12">
        <f>($AP$4*AI15)/$AJ$3</f>
        <v>4.9999999999999996E-2</v>
      </c>
      <c r="AP15" t="s">
        <v>15</v>
      </c>
      <c r="AQ15" s="5">
        <f>_xlfn.IFNA(VLOOKUP(AH15,'Costo Materia Prima'!$D$3:$I$409,6,FALSE)*AO15,0)</f>
        <v>1.2749999999999999</v>
      </c>
      <c r="AS15" t="s">
        <v>629</v>
      </c>
      <c r="AT15">
        <v>0.11</v>
      </c>
      <c r="AU15" t="s">
        <v>15</v>
      </c>
      <c r="AV15" s="5">
        <f>AT15*'Insumos 1'!G146</f>
        <v>15.932216666666664</v>
      </c>
      <c r="AW15" s="12">
        <f t="shared" si="10"/>
        <v>7.2023809523809532E-2</v>
      </c>
      <c r="AX15" t="s">
        <v>15</v>
      </c>
      <c r="AY15" s="5">
        <f>AW15*'Insumos 1'!G146</f>
        <v>10.431808531746031</v>
      </c>
      <c r="AZ15">
        <v>0.03</v>
      </c>
      <c r="BA15" t="s">
        <v>15</v>
      </c>
      <c r="BB15" s="5">
        <f>AZ15*'Insumos 1'!G146</f>
        <v>4.3451499999999994</v>
      </c>
      <c r="BD15" s="200" t="s">
        <v>311</v>
      </c>
      <c r="BE15">
        <v>0.84</v>
      </c>
      <c r="BF15" t="s">
        <v>15</v>
      </c>
      <c r="BG15" s="5">
        <f>VLOOKUP(BD15,'Costo Materia Prima'!$D$3:$I$409,6,FALSE)*BE15</f>
        <v>130.19999999999999</v>
      </c>
      <c r="BH15" s="12">
        <f>($BI$4*BE15)/$BF$3</f>
        <v>0.56000000000000005</v>
      </c>
      <c r="BI15" t="s">
        <v>15</v>
      </c>
      <c r="BJ15" s="5">
        <f>VLOOKUP(BD15,'Costo Materia Prima'!$D$3:$I$409,6,FALSE)*BH15</f>
        <v>86.800000000000011</v>
      </c>
      <c r="BK15">
        <f t="shared" ref="BK15:BK20" si="14">BE15/5</f>
        <v>0.16799999999999998</v>
      </c>
      <c r="BL15" t="s">
        <v>15</v>
      </c>
      <c r="BM15" s="5">
        <f>_xlfn.IFNA(VLOOKUP(BD15,'Costo Materia Prima'!$D$3:$I$409,6,FALSE)*BK15,0)</f>
        <v>26.039999999999996</v>
      </c>
      <c r="BO15" t="s">
        <v>284</v>
      </c>
      <c r="BP15">
        <v>0.25</v>
      </c>
      <c r="BQ15" t="s">
        <v>15</v>
      </c>
      <c r="BR15" s="95">
        <f>VLOOKUP(BO15,'Costo Materia Prima'!$D$3:$I$409,6,FALSE)*BP15</f>
        <v>6.375</v>
      </c>
      <c r="BS15" s="12">
        <f t="shared" si="8"/>
        <v>0.16666666666666669</v>
      </c>
      <c r="BT15" t="s">
        <v>15</v>
      </c>
      <c r="BU15" s="95">
        <f>VLOOKUP(BO15,'Costo Materia Prima'!$D$3:$I$409,6,FALSE)*BS15</f>
        <v>4.2500000000000009</v>
      </c>
      <c r="BV15" s="14">
        <f t="shared" si="11"/>
        <v>4.1666666666666664E-2</v>
      </c>
      <c r="BW15" t="s">
        <v>15</v>
      </c>
      <c r="BX15" s="95">
        <f>_xlfn.IFNA(VLOOKUP(BO15,'Costo Materia Prima'!$D$3:$I$409,6,FALSE)*BV15,0)</f>
        <v>1.0625</v>
      </c>
    </row>
    <row r="16" spans="1:76" x14ac:dyDescent="0.2">
      <c r="A16" t="s">
        <v>87</v>
      </c>
      <c r="B16">
        <v>1.7999999999999999E-2</v>
      </c>
      <c r="C16" t="s">
        <v>15</v>
      </c>
      <c r="D16" s="5">
        <f>VLOOKUP(A16,'Costo Materia Prima'!$D$3:$I$409,6,FALSE)*B16</f>
        <v>5.8468799999999996</v>
      </c>
      <c r="E16" s="12">
        <f t="shared" si="0"/>
        <v>1.1000000000000001E-2</v>
      </c>
      <c r="F16" t="s">
        <v>15</v>
      </c>
      <c r="G16" s="78">
        <f>VLOOKUP(A16,'Costo Materia Prima'!$D$3:$I$409,6,FALSE)*E16</f>
        <v>3.5730933333333335</v>
      </c>
      <c r="H16">
        <v>8.0000000000000002E-3</v>
      </c>
      <c r="I16" t="s">
        <v>15</v>
      </c>
      <c r="J16" s="78">
        <f>VLOOKUP(A16,'Costo Materia Prima'!$D$3:$I$409,6,FALSE)*H16</f>
        <v>2.5986133333333332</v>
      </c>
      <c r="K16" s="78"/>
      <c r="L16" t="s">
        <v>319</v>
      </c>
      <c r="M16">
        <v>0.2</v>
      </c>
      <c r="N16" t="s">
        <v>15</v>
      </c>
      <c r="O16" s="5">
        <f>VLOOKUP(L16,'Costo Materia Prima'!$D$3:$I$409,6,FALSE)*M16</f>
        <v>23.544</v>
      </c>
      <c r="P16" s="12">
        <f t="shared" si="3"/>
        <v>0.13750000000000001</v>
      </c>
      <c r="Q16" t="s">
        <v>15</v>
      </c>
      <c r="R16" s="5">
        <f>VLOOKUP(L16,'Costo Materia Prima'!$D$3:$I$409,6,FALSE)*P16</f>
        <v>16.186500000000002</v>
      </c>
      <c r="S16">
        <f t="shared" si="4"/>
        <v>0.04</v>
      </c>
      <c r="T16" t="s">
        <v>15</v>
      </c>
      <c r="U16" s="78">
        <f>VLOOKUP(L16,'Costo Materia Prima'!$D$3:$I$409,6,FALSE)*S16</f>
        <v>4.7088000000000001</v>
      </c>
      <c r="V16" s="5"/>
      <c r="W16" t="s">
        <v>396</v>
      </c>
      <c r="X16">
        <v>0.5</v>
      </c>
      <c r="Y16" t="s">
        <v>15</v>
      </c>
      <c r="Z16" s="5">
        <f>X16*'Insumos 2'!G159</f>
        <v>55.148746307918799</v>
      </c>
      <c r="AA16" s="12">
        <f t="shared" si="12"/>
        <v>0.34375</v>
      </c>
      <c r="AB16" t="s">
        <v>15</v>
      </c>
      <c r="AC16" s="5">
        <f>AA16*'Insumos 2'!G159</f>
        <v>37.914763086694173</v>
      </c>
      <c r="AD16" s="12">
        <v>4.4999999999999998E-2</v>
      </c>
      <c r="AE16" t="s">
        <v>15</v>
      </c>
      <c r="AF16" s="5">
        <f>'Insumos 2'!G159*AD16</f>
        <v>4.9633871677126917</v>
      </c>
      <c r="AH16" t="s">
        <v>63</v>
      </c>
      <c r="AI16">
        <v>0.45</v>
      </c>
      <c r="AJ16" t="s">
        <v>15</v>
      </c>
      <c r="AK16" s="5">
        <f>VLOOKUP(AH16,'Costo Materia Prima'!$D$3:$I$409,6,FALSE)*AI16</f>
        <v>63.9</v>
      </c>
      <c r="AL16" s="12">
        <f t="shared" si="1"/>
        <v>0.30000000000000004</v>
      </c>
      <c r="AM16" t="s">
        <v>15</v>
      </c>
      <c r="AN16" s="5">
        <f>_xlfn.IFNA(VLOOKUP(AH16,'Costo Materia Prima'!$D$3:$I$409,6,FALSE)*AL16,"")</f>
        <v>42.600000000000009</v>
      </c>
      <c r="AO16" s="12">
        <v>4.4999999999999998E-2</v>
      </c>
      <c r="AP16" t="s">
        <v>15</v>
      </c>
      <c r="AQ16" s="5">
        <f>_xlfn.IFNA(VLOOKUP(AH16,'Costo Materia Prima'!$D$3:$I$409,6,FALSE)*AO16,0)</f>
        <v>6.39</v>
      </c>
      <c r="AS16" t="s">
        <v>630</v>
      </c>
      <c r="AT16">
        <f>8*0.03</f>
        <v>0.24</v>
      </c>
      <c r="AU16" t="s">
        <v>15</v>
      </c>
      <c r="AV16" s="5">
        <f>VLOOKUP(AS16,'Costo Materia Prima'!$D$3:$I$409,6,FALSE)*AT16</f>
        <v>6.4799999999999995</v>
      </c>
      <c r="AW16" s="12">
        <f t="shared" si="10"/>
        <v>0.15714285714285717</v>
      </c>
      <c r="AX16" t="s">
        <v>15</v>
      </c>
      <c r="AY16" s="5">
        <f>VLOOKUP(AS16,'Costo Materia Prima'!$D$3:$I$409,6,FALSE)*AW16</f>
        <v>4.2428571428571438</v>
      </c>
      <c r="AZ16">
        <f>AT16/5</f>
        <v>4.8000000000000001E-2</v>
      </c>
      <c r="BA16" t="s">
        <v>15</v>
      </c>
      <c r="BB16" s="5">
        <f>VLOOKUP(AS16,'Costo Materia Prima'!$D$3:$I$409,6,FALSE)*AZ16</f>
        <v>1.296</v>
      </c>
      <c r="BD16" t="s">
        <v>284</v>
      </c>
      <c r="BE16">
        <v>0.25</v>
      </c>
      <c r="BF16" t="s">
        <v>15</v>
      </c>
      <c r="BG16" s="5">
        <f>VLOOKUP(BD16,'Costo Materia Prima'!$D$3:$I$409,6,FALSE)*BE16</f>
        <v>6.375</v>
      </c>
      <c r="BH16" s="12">
        <f t="shared" si="6"/>
        <v>0.16666666666666669</v>
      </c>
      <c r="BI16" t="s">
        <v>15</v>
      </c>
      <c r="BJ16" s="5">
        <f>VLOOKUP(BD16,'Costo Materia Prima'!$D$3:$I$409,6,FALSE)*BH16</f>
        <v>4.2500000000000009</v>
      </c>
      <c r="BK16">
        <f t="shared" si="14"/>
        <v>0.05</v>
      </c>
      <c r="BL16" t="s">
        <v>15</v>
      </c>
      <c r="BM16" s="5">
        <f>_xlfn.IFNA(VLOOKUP(BD16,'Costo Materia Prima'!$D$3:$I$409,6,FALSE)*BK16,0)</f>
        <v>1.2750000000000001</v>
      </c>
      <c r="BO16" t="s">
        <v>230</v>
      </c>
      <c r="BP16">
        <v>0.03</v>
      </c>
      <c r="BQ16" t="s">
        <v>15</v>
      </c>
      <c r="BR16" s="95">
        <f>VLOOKUP(BO16,'Costo Materia Prima'!$D$3:$I$409,6,FALSE)*BP16</f>
        <v>0.55499999999999994</v>
      </c>
      <c r="BS16" s="12">
        <f t="shared" si="8"/>
        <v>0.02</v>
      </c>
      <c r="BT16" t="s">
        <v>15</v>
      </c>
      <c r="BU16" s="95">
        <f>VLOOKUP(BO16,'Costo Materia Prima'!$D$3:$I$409,6,FALSE)*BS16</f>
        <v>0.37</v>
      </c>
      <c r="BV16" s="14">
        <f t="shared" si="11"/>
        <v>5.0000000000000001E-3</v>
      </c>
      <c r="BW16" t="s">
        <v>15</v>
      </c>
      <c r="BX16" s="95">
        <f>_xlfn.IFNA(VLOOKUP(BO16,'Costo Materia Prima'!$D$3:$I$409,6,FALSE)*BV16,0)</f>
        <v>9.2499999999999999E-2</v>
      </c>
    </row>
    <row r="17" spans="1:78" x14ac:dyDescent="0.2">
      <c r="A17" t="s">
        <v>88</v>
      </c>
      <c r="B17">
        <v>5.0000000000000001E-3</v>
      </c>
      <c r="C17" t="s">
        <v>15</v>
      </c>
      <c r="D17" s="5">
        <f>VLOOKUP(A17,'Costo Materia Prima'!$D$3:$I$409,6,FALSE)*B17</f>
        <v>1.3217400000000001</v>
      </c>
      <c r="E17" s="12">
        <f>B17</f>
        <v>5.0000000000000001E-3</v>
      </c>
      <c r="F17" t="s">
        <v>15</v>
      </c>
      <c r="G17" s="78">
        <f>VLOOKUP(A17,'Costo Materia Prima'!$D$3:$I$409,6,FALSE)*E17</f>
        <v>1.3217400000000001</v>
      </c>
      <c r="H17">
        <f>B17</f>
        <v>5.0000000000000001E-3</v>
      </c>
      <c r="I17" t="s">
        <v>15</v>
      </c>
      <c r="J17" s="78">
        <f>VLOOKUP(A17,'Costo Materia Prima'!$D$3:$I$409,6,FALSE)*H17</f>
        <v>1.3217400000000001</v>
      </c>
      <c r="K17" s="78"/>
      <c r="L17" t="s">
        <v>323</v>
      </c>
      <c r="M17">
        <v>0.02</v>
      </c>
      <c r="N17" t="s">
        <v>15</v>
      </c>
      <c r="O17" s="5">
        <f>VLOOKUP(L17,'Costo Materia Prima'!$D$3:$I$409,6,FALSE)*M17</f>
        <v>5.0514933333333332</v>
      </c>
      <c r="P17" s="12">
        <f t="shared" si="3"/>
        <v>1.375E-2</v>
      </c>
      <c r="Q17" t="s">
        <v>15</v>
      </c>
      <c r="R17" s="5">
        <f>VLOOKUP(L17,'Costo Materia Prima'!$D$3:$I$409,6,FALSE)*P17</f>
        <v>3.4729016666666666</v>
      </c>
      <c r="S17">
        <f t="shared" si="4"/>
        <v>4.0000000000000001E-3</v>
      </c>
      <c r="T17" t="s">
        <v>15</v>
      </c>
      <c r="U17" s="78">
        <f>VLOOKUP(L17,'Costo Materia Prima'!$D$3:$I$409,6,FALSE)*S17</f>
        <v>1.0102986666666667</v>
      </c>
      <c r="V17" s="5"/>
      <c r="W17" t="s">
        <v>284</v>
      </c>
      <c r="X17">
        <v>0.25</v>
      </c>
      <c r="Y17" t="s">
        <v>15</v>
      </c>
      <c r="Z17" s="5">
        <f>VLOOKUP(W17,'Costo Materia Prima'!$D$3:$I$409,6,FALSE)*X17</f>
        <v>6.375</v>
      </c>
      <c r="AA17" s="12">
        <f t="shared" si="12"/>
        <v>0.171875</v>
      </c>
      <c r="AB17" t="s">
        <v>15</v>
      </c>
      <c r="AC17" s="5">
        <f>VLOOKUP(W17,'Costo Materia Prima'!$D$3:$I$409,6,FALSE)*AA17</f>
        <v>4.3828125</v>
      </c>
      <c r="AD17" s="12">
        <f t="shared" si="13"/>
        <v>4.9999999999999996E-2</v>
      </c>
      <c r="AE17" t="s">
        <v>15</v>
      </c>
      <c r="AF17" s="5">
        <f>_xlfn.IFNA(VLOOKUP(W17,'Costo Materia Prima'!$D$3:$I$409,6,FALSE)*AD17,0)</f>
        <v>1.2749999999999999</v>
      </c>
      <c r="AV17" s="5"/>
      <c r="AY17" s="5"/>
      <c r="BB17" s="5"/>
      <c r="BD17" t="s">
        <v>230</v>
      </c>
      <c r="BE17">
        <v>0.03</v>
      </c>
      <c r="BF17" t="s">
        <v>15</v>
      </c>
      <c r="BG17" s="5">
        <f>VLOOKUP(BD17,'Costo Materia Prima'!$D$3:$I$409,6,FALSE)*BE17</f>
        <v>0.55499999999999994</v>
      </c>
      <c r="BH17" s="12">
        <f t="shared" si="6"/>
        <v>0.02</v>
      </c>
      <c r="BI17" t="s">
        <v>15</v>
      </c>
      <c r="BJ17" s="5">
        <f>VLOOKUP(BD17,'Costo Materia Prima'!$D$3:$I$409,6,FALSE)*BH17</f>
        <v>0.37</v>
      </c>
      <c r="BK17">
        <f t="shared" si="14"/>
        <v>6.0000000000000001E-3</v>
      </c>
      <c r="BL17" t="s">
        <v>15</v>
      </c>
      <c r="BM17" s="5">
        <f>_xlfn.IFNA(VLOOKUP(BD17,'Costo Materia Prima'!$D$3:$I$409,6,FALSE)*BK17,0)</f>
        <v>0.111</v>
      </c>
      <c r="BO17" t="s">
        <v>22</v>
      </c>
      <c r="BP17">
        <v>0.25</v>
      </c>
      <c r="BQ17" t="s">
        <v>15</v>
      </c>
      <c r="BR17" s="95">
        <f>VLOOKUP(BO17,'Costo Materia Prima'!$D$3:$I$409,6,FALSE)*BP17</f>
        <v>14.583333333333334</v>
      </c>
      <c r="BS17" s="12">
        <f t="shared" si="8"/>
        <v>0.16666666666666669</v>
      </c>
      <c r="BT17" t="s">
        <v>15</v>
      </c>
      <c r="BU17" s="95">
        <f>VLOOKUP(BO17,'Costo Materia Prima'!$D$3:$I$409,6,FALSE)*BS17</f>
        <v>9.7222222222222232</v>
      </c>
      <c r="BV17" s="14">
        <f t="shared" si="11"/>
        <v>4.1666666666666664E-2</v>
      </c>
      <c r="BW17" t="s">
        <v>15</v>
      </c>
      <c r="BX17" s="95">
        <f>_xlfn.IFNA(VLOOKUP(BO17,'Costo Materia Prima'!$D$3:$I$409,6,FALSE)*BV17,0)</f>
        <v>2.4305555555555554</v>
      </c>
    </row>
    <row r="18" spans="1:78" x14ac:dyDescent="0.2">
      <c r="A18" t="s">
        <v>284</v>
      </c>
      <c r="B18">
        <v>0.25</v>
      </c>
      <c r="C18" t="s">
        <v>15</v>
      </c>
      <c r="D18" s="5">
        <f>VLOOKUP(A18,'Costo Materia Prima'!$D$3:$I$409,6,FALSE)*B18</f>
        <v>6.375</v>
      </c>
      <c r="E18" s="12">
        <f t="shared" si="0"/>
        <v>0.15277777777777779</v>
      </c>
      <c r="F18" t="s">
        <v>15</v>
      </c>
      <c r="G18" s="78">
        <f>VLOOKUP(A18,'Costo Materia Prima'!$D$3:$I$409,6,FALSE)*E18</f>
        <v>3.8958333333333335</v>
      </c>
      <c r="H18">
        <f t="shared" si="9"/>
        <v>0.05</v>
      </c>
      <c r="I18" t="s">
        <v>15</v>
      </c>
      <c r="J18" s="78">
        <f>VLOOKUP(A18,'Costo Materia Prima'!$D$3:$I$409,6,FALSE)*H18</f>
        <v>1.2750000000000001</v>
      </c>
      <c r="K18" s="78"/>
      <c r="L18" t="s">
        <v>284</v>
      </c>
      <c r="M18">
        <v>0.25</v>
      </c>
      <c r="N18" t="s">
        <v>15</v>
      </c>
      <c r="O18" s="5">
        <f>VLOOKUP(L18,'Costo Materia Prima'!$D$3:$I$409,6,FALSE)*M18</f>
        <v>6.375</v>
      </c>
      <c r="P18" s="12">
        <f t="shared" si="3"/>
        <v>0.171875</v>
      </c>
      <c r="Q18" t="s">
        <v>15</v>
      </c>
      <c r="R18" s="5">
        <f>VLOOKUP(L18,'Costo Materia Prima'!$D$3:$I$409,6,FALSE)*P18</f>
        <v>4.3828125</v>
      </c>
      <c r="S18">
        <f t="shared" si="4"/>
        <v>4.9999999999999996E-2</v>
      </c>
      <c r="T18" t="s">
        <v>15</v>
      </c>
      <c r="U18" s="78">
        <f>VLOOKUP(L18,'Costo Materia Prima'!$D$3:$I$409,6,FALSE)*S18</f>
        <v>1.2749999999999999</v>
      </c>
      <c r="V18" s="5"/>
      <c r="W18" t="s">
        <v>323</v>
      </c>
      <c r="X18">
        <v>0.02</v>
      </c>
      <c r="Y18" t="s">
        <v>15</v>
      </c>
      <c r="Z18" s="5">
        <f>VLOOKUP(W18,'Costo Materia Prima'!$D$3:$I$409,6,FALSE)*X18</f>
        <v>5.0514933333333332</v>
      </c>
      <c r="AA18" s="12">
        <f>($AB$4*X18)/$Y$3</f>
        <v>1.375E-2</v>
      </c>
      <c r="AB18" t="s">
        <v>15</v>
      </c>
      <c r="AC18" s="5">
        <f>VLOOKUP(W18,'Costo Materia Prima'!$D$3:$I$409,6,FALSE)*AA18</f>
        <v>3.4729016666666666</v>
      </c>
      <c r="AD18" s="12">
        <f>($AE$4*X18)/$Y$3</f>
        <v>4.0000000000000001E-3</v>
      </c>
      <c r="AE18" t="s">
        <v>15</v>
      </c>
      <c r="AF18" s="5">
        <f>_xlfn.IFNA(VLOOKUP(W18,'Costo Materia Prima'!$D$3:$I$409,6,FALSE)*AD18,0)</f>
        <v>1.0102986666666667</v>
      </c>
      <c r="AV18" s="5"/>
      <c r="AY18" s="5"/>
      <c r="BB18" s="5"/>
      <c r="BD18" t="s">
        <v>22</v>
      </c>
      <c r="BE18">
        <v>0.25</v>
      </c>
      <c r="BF18" t="s">
        <v>15</v>
      </c>
      <c r="BG18" s="5">
        <f>VLOOKUP(BD18,'Costo Materia Prima'!$D$3:$I$409,6,FALSE)*BE18</f>
        <v>14.583333333333334</v>
      </c>
      <c r="BH18" s="12">
        <f t="shared" si="6"/>
        <v>0.16666666666666669</v>
      </c>
      <c r="BI18" t="s">
        <v>15</v>
      </c>
      <c r="BJ18" s="5">
        <f>VLOOKUP(BD18,'Costo Materia Prima'!$D$3:$I$409,6,FALSE)*BH18</f>
        <v>9.7222222222222232</v>
      </c>
      <c r="BK18">
        <f t="shared" si="14"/>
        <v>0.05</v>
      </c>
      <c r="BL18" t="s">
        <v>15</v>
      </c>
      <c r="BM18" s="5">
        <f>_xlfn.IFNA(VLOOKUP(BD18,'Costo Materia Prima'!$D$3:$I$409,6,FALSE)*BK18,0)</f>
        <v>2.916666666666667</v>
      </c>
      <c r="BO18" t="s">
        <v>183</v>
      </c>
      <c r="BP18">
        <v>0.01</v>
      </c>
      <c r="BQ18" t="s">
        <v>18</v>
      </c>
      <c r="BR18" s="95">
        <f>VLOOKUP(BO18,'Costo Materia Prima'!$D$3:$I$409,6,FALSE)*BP18</f>
        <v>0.69621718750000006</v>
      </c>
      <c r="BS18" s="12">
        <f t="shared" si="8"/>
        <v>6.666666666666668E-3</v>
      </c>
      <c r="BT18" t="s">
        <v>18</v>
      </c>
      <c r="BU18" s="95">
        <f>VLOOKUP(BO18,'Costo Materia Prima'!$D$3:$I$409,6,FALSE)*BS18</f>
        <v>0.46414479166666678</v>
      </c>
      <c r="BV18" s="14">
        <f>BP18/6</f>
        <v>1.6666666666666668E-3</v>
      </c>
      <c r="BW18" t="s">
        <v>18</v>
      </c>
      <c r="BX18" s="95">
        <f>_xlfn.IFNA(VLOOKUP(BO18,'Costo Materia Prima'!$D$3:$I$409,6,FALSE)*BV18,0)</f>
        <v>0.11603619791666667</v>
      </c>
    </row>
    <row r="19" spans="1:78" x14ac:dyDescent="0.2">
      <c r="D19" s="5"/>
      <c r="E19" s="12"/>
      <c r="G19" s="78"/>
      <c r="J19" s="78"/>
      <c r="K19" s="78"/>
      <c r="O19" s="5"/>
      <c r="P19" s="12"/>
      <c r="R19" s="5"/>
      <c r="U19" s="78"/>
      <c r="V19" s="5"/>
      <c r="Z19" s="5"/>
      <c r="AA19" s="12"/>
      <c r="AC19" s="5"/>
      <c r="AD19" s="12"/>
      <c r="AF19" s="5"/>
      <c r="AV19" s="5"/>
      <c r="AY19" s="5"/>
      <c r="BB19" s="5"/>
      <c r="BD19" t="s">
        <v>183</v>
      </c>
      <c r="BE19">
        <v>0.01</v>
      </c>
      <c r="BF19" t="s">
        <v>18</v>
      </c>
      <c r="BG19" s="5">
        <f>VLOOKUP(BD19,'Costo Materia Prima'!$D$3:$I$409,6,FALSE)*BE19</f>
        <v>0.69621718750000006</v>
      </c>
      <c r="BH19" s="12">
        <f t="shared" si="6"/>
        <v>6.666666666666668E-3</v>
      </c>
      <c r="BI19" t="s">
        <v>18</v>
      </c>
      <c r="BJ19" s="5">
        <f>VLOOKUP(BD19,'Costo Materia Prima'!$D$3:$I$409,6,FALSE)*BH19</f>
        <v>0.46414479166666678</v>
      </c>
      <c r="BK19">
        <f t="shared" si="14"/>
        <v>2E-3</v>
      </c>
      <c r="BL19" t="s">
        <v>18</v>
      </c>
      <c r="BM19" s="5">
        <f>_xlfn.IFNA(VLOOKUP(BD19,'Costo Materia Prima'!$D$3:$I$409,6,FALSE)*BK19,0)</f>
        <v>0.13924343750000001</v>
      </c>
      <c r="BO19" t="s">
        <v>132</v>
      </c>
      <c r="BP19">
        <v>5</v>
      </c>
      <c r="BQ19" t="s">
        <v>21</v>
      </c>
      <c r="BR19" s="95">
        <f>VLOOKUP(BO19,'Costo Materia Prima'!$D$3:$I$409,6,FALSE)*BP19</f>
        <v>9.0283333333333324</v>
      </c>
      <c r="BS19" s="12">
        <f t="shared" si="8"/>
        <v>3.3333333333333335</v>
      </c>
      <c r="BT19" t="s">
        <v>21</v>
      </c>
      <c r="BU19" s="95">
        <f>VLOOKUP(BO19,'Costo Materia Prima'!$D$3:$I$409,6,FALSE)*BS19</f>
        <v>6.0188888888888883</v>
      </c>
      <c r="BV19" s="14">
        <f t="shared" si="11"/>
        <v>0.83333333333333337</v>
      </c>
      <c r="BW19" t="s">
        <v>21</v>
      </c>
      <c r="BX19" s="95">
        <f>_xlfn.IFNA(VLOOKUP(BO19,'Costo Materia Prima'!$D$3:$I$409,6,FALSE)*BV19,0)</f>
        <v>1.5047222222222221</v>
      </c>
    </row>
    <row r="20" spans="1:78" x14ac:dyDescent="0.2">
      <c r="D20" s="5"/>
      <c r="E20" s="12"/>
      <c r="G20" s="78"/>
      <c r="J20" s="78"/>
      <c r="K20" s="78"/>
      <c r="O20" s="5"/>
      <c r="P20" s="12"/>
      <c r="R20" s="5"/>
      <c r="U20" s="78"/>
      <c r="V20" s="5"/>
      <c r="Z20" s="5"/>
      <c r="AA20" s="12"/>
      <c r="AC20" s="5"/>
      <c r="AD20" s="12"/>
      <c r="AF20" s="5"/>
      <c r="AV20" s="5"/>
      <c r="AY20" s="5"/>
      <c r="BB20" s="5"/>
      <c r="BD20" t="s">
        <v>132</v>
      </c>
      <c r="BE20">
        <v>5</v>
      </c>
      <c r="BF20" t="s">
        <v>21</v>
      </c>
      <c r="BG20" s="5">
        <f>VLOOKUP(BD20,'Costo Materia Prima'!$D$3:$I$409,6,FALSE)*BE20</f>
        <v>9.0283333333333324</v>
      </c>
      <c r="BH20" s="12">
        <f t="shared" si="6"/>
        <v>3.3333333333333335</v>
      </c>
      <c r="BI20" t="s">
        <v>21</v>
      </c>
      <c r="BJ20" s="5">
        <f>VLOOKUP(BD20,'Costo Materia Prima'!$D$3:$I$409,6,FALSE)*BH20</f>
        <v>6.0188888888888883</v>
      </c>
      <c r="BK20">
        <f t="shared" si="14"/>
        <v>1</v>
      </c>
      <c r="BL20" t="s">
        <v>21</v>
      </c>
      <c r="BM20" s="5">
        <f>_xlfn.IFNA(VLOOKUP(BD20,'Costo Materia Prima'!$D$3:$I$409,6,FALSE)*BK20,0)</f>
        <v>1.8056666666666665</v>
      </c>
      <c r="BO20" t="s">
        <v>147</v>
      </c>
      <c r="BP20">
        <v>0.28000000000000003</v>
      </c>
      <c r="BQ20" t="s">
        <v>15</v>
      </c>
      <c r="BR20" s="95">
        <f>VLOOKUP(BO20,'Costo Materia Prima'!$D$3:$I$409,6,FALSE)*BP20</f>
        <v>23.232657926102505</v>
      </c>
      <c r="BS20" s="12">
        <f>($AX$4*BP20)/$AU$3</f>
        <v>0.18333333333333338</v>
      </c>
      <c r="BT20" t="s">
        <v>15</v>
      </c>
      <c r="BU20" s="95">
        <f>BS20*'Insumos 1'!R155</f>
        <v>0</v>
      </c>
      <c r="BV20" s="14">
        <f t="shared" si="11"/>
        <v>4.6666666666666669E-2</v>
      </c>
      <c r="BW20" t="s">
        <v>15</v>
      </c>
      <c r="BX20" s="95">
        <f>_xlfn.IFNA(VLOOKUP(BO20,'Costo Materia Prima'!$D$3:$I$409,6,FALSE)*BV20,0)</f>
        <v>3.8721096543504174</v>
      </c>
    </row>
    <row r="21" spans="1:78" x14ac:dyDescent="0.2">
      <c r="D21" s="5"/>
      <c r="E21" s="12"/>
      <c r="G21" s="78"/>
      <c r="J21" s="78"/>
      <c r="K21" s="78"/>
      <c r="O21" s="5"/>
      <c r="P21" s="12"/>
      <c r="R21" s="5"/>
      <c r="U21" s="78"/>
      <c r="V21" s="5"/>
      <c r="Z21" s="5"/>
      <c r="AA21" s="12"/>
      <c r="AC21" s="5"/>
      <c r="AD21" s="12"/>
      <c r="AF21" s="5"/>
      <c r="AV21" s="5"/>
      <c r="AY21" s="5"/>
      <c r="BB21" s="5"/>
      <c r="BD21" t="s">
        <v>144</v>
      </c>
      <c r="BE21">
        <v>0.40500000000000003</v>
      </c>
      <c r="BF21" t="s">
        <v>15</v>
      </c>
      <c r="BG21" s="5">
        <f>BE21*'Insumos 1'!G155</f>
        <v>49.704678088187265</v>
      </c>
      <c r="BH21" s="12">
        <f t="shared" ref="BH21" si="15">($AX$4*BE21)/$AU$3</f>
        <v>0.26517857142857149</v>
      </c>
      <c r="BI21" t="s">
        <v>15</v>
      </c>
      <c r="BJ21" s="5">
        <f>BH21*'Insumos 1'!G155</f>
        <v>32.544729700598808</v>
      </c>
      <c r="BK21">
        <v>7.0000000000000007E-2</v>
      </c>
      <c r="BL21" t="s">
        <v>15</v>
      </c>
      <c r="BM21" s="5">
        <f>BK21*'Insumos 1'!G155</f>
        <v>8.5909320152422435</v>
      </c>
      <c r="BO21" t="s">
        <v>279</v>
      </c>
      <c r="BP21">
        <v>4.0000000000000001E-3</v>
      </c>
      <c r="BQ21" t="s">
        <v>15</v>
      </c>
      <c r="BR21" s="95">
        <f>_xlfn.IFNA(VLOOKUP(BO21,'Costo Materia Prima'!$D$3:$I$409,6,FALSE)*BP21,0)</f>
        <v>1.1727090909090907</v>
      </c>
      <c r="BS21" s="12">
        <f>($BI$4*BP21)/$BF$3</f>
        <v>2.666666666666667E-3</v>
      </c>
      <c r="BT21" t="s">
        <v>15</v>
      </c>
      <c r="BU21" s="95">
        <f>_xlfn.IFNA(VLOOKUP(BO20,'Costo Materia Prima'!$D$3:$I$409,6,FALSE)*BS21,0)</f>
        <v>0.22126340882002385</v>
      </c>
      <c r="BV21" s="14">
        <f t="shared" si="11"/>
        <v>6.6666666666666664E-4</v>
      </c>
      <c r="BW21" t="s">
        <v>15</v>
      </c>
      <c r="BX21" s="95">
        <f>_xlfn.IFNA(VLOOKUP(BO21,'Costo Materia Prima'!$D$3:$I$409,6,FALSE)*BV21,0)</f>
        <v>0.19545151515151513</v>
      </c>
    </row>
    <row r="22" spans="1:78" x14ac:dyDescent="0.2">
      <c r="D22" s="5"/>
      <c r="E22" s="12"/>
      <c r="G22" s="78"/>
      <c r="J22" s="78"/>
      <c r="K22" s="78"/>
      <c r="O22" s="5"/>
      <c r="P22" s="12"/>
      <c r="R22" s="5"/>
      <c r="U22" s="78"/>
      <c r="V22" s="5"/>
      <c r="Z22" s="5"/>
      <c r="AA22" s="12"/>
      <c r="AC22" s="5"/>
      <c r="AD22" s="12"/>
      <c r="AF22" s="5"/>
      <c r="AV22" s="5"/>
      <c r="AY22" s="5"/>
      <c r="BB22" s="5"/>
      <c r="BD22" t="s">
        <v>279</v>
      </c>
      <c r="BE22">
        <v>1E-3</v>
      </c>
      <c r="BF22" t="s">
        <v>15</v>
      </c>
      <c r="BG22" s="5">
        <f>_xlfn.IFNA(VLOOKUP(BD22,'Costo Materia Prima'!$D$3:$I$409,6,FALSE)*BE22,0)</f>
        <v>0.29317727272727268</v>
      </c>
      <c r="BH22" s="12">
        <f t="shared" si="6"/>
        <v>6.6666666666666675E-4</v>
      </c>
      <c r="BI22" t="s">
        <v>15</v>
      </c>
      <c r="BJ22" s="5">
        <f>_xlfn.IFNA(VLOOKUP(BD22,'Costo Materia Prima'!$D$3:$I$409,6,FALSE)*BH22,0)</f>
        <v>0.19545151515151515</v>
      </c>
      <c r="BK22">
        <v>1E-3</v>
      </c>
      <c r="BL22" t="s">
        <v>15</v>
      </c>
      <c r="BM22" s="5">
        <f>_xlfn.IFNA(VLOOKUP(BD22,'Costo Materia Prima'!$D$3:$I$409,6,FALSE)*BK22,0)</f>
        <v>0.29317727272727268</v>
      </c>
      <c r="BO22" t="s">
        <v>124</v>
      </c>
      <c r="BP22">
        <v>0.03</v>
      </c>
      <c r="BQ22" t="s">
        <v>15</v>
      </c>
      <c r="BR22" s="95">
        <f>_xlfn.IFNA(VLOOKUP(BO22,'Costo Materia Prima'!$D$3:$I$409,6,FALSE)*BP22,0)</f>
        <v>1.5539999999999998</v>
      </c>
      <c r="BS22" s="12">
        <f>($BI$4*BP22)/$BF$3</f>
        <v>0.02</v>
      </c>
      <c r="BT22" t="s">
        <v>15</v>
      </c>
      <c r="BU22" s="95">
        <f>_xlfn.IFNA(VLOOKUP(BO21,'Costo Materia Prima'!$D$3:$I$409,6,FALSE)*BS22,0)</f>
        <v>5.8635454545454539</v>
      </c>
      <c r="BV22" s="14">
        <f t="shared" si="11"/>
        <v>5.0000000000000001E-3</v>
      </c>
      <c r="BW22" t="s">
        <v>15</v>
      </c>
      <c r="BX22" s="95">
        <f>_xlfn.IFNA(VLOOKUP(BO21,'Costo Materia Prima'!$D$3:$I$409,6,FALSE)*BV22,0)</f>
        <v>1.4658863636363635</v>
      </c>
    </row>
    <row r="23" spans="1:78" x14ac:dyDescent="0.2">
      <c r="D23" s="5"/>
      <c r="E23" s="12"/>
      <c r="G23" s="78"/>
      <c r="J23" s="78"/>
      <c r="K23" s="78"/>
      <c r="O23" s="5"/>
      <c r="P23" s="12"/>
      <c r="R23" s="5"/>
      <c r="U23" s="78"/>
      <c r="V23" s="5"/>
      <c r="Z23" s="5"/>
      <c r="AA23" s="12"/>
      <c r="AC23" s="5"/>
      <c r="AD23" s="12"/>
      <c r="AF23" s="5"/>
      <c r="AV23" s="5"/>
      <c r="AY23" s="5"/>
      <c r="BB23" s="5"/>
      <c r="BO23" t="s">
        <v>630</v>
      </c>
      <c r="BP23">
        <v>8.0000000000000002E-3</v>
      </c>
      <c r="BQ23" t="s">
        <v>15</v>
      </c>
      <c r="BR23" s="95">
        <f>_xlfn.IFNA(VLOOKUP(BO23,'Costo Materia Prima'!$D$3:$I$409,6,FALSE)*BP23,0)</f>
        <v>0.216</v>
      </c>
      <c r="BS23" s="12">
        <f>($BI$4*BP23)/$BF$3</f>
        <v>5.333333333333334E-3</v>
      </c>
      <c r="BT23" t="s">
        <v>15</v>
      </c>
      <c r="BU23" s="95">
        <f>_xlfn.IFNA(VLOOKUP(BO22,'Costo Materia Prima'!$D$3:$I$409,6,FALSE)*BS23,0)</f>
        <v>0.27626666666666666</v>
      </c>
      <c r="BV23" s="14">
        <f t="shared" si="11"/>
        <v>1.3333333333333333E-3</v>
      </c>
      <c r="BW23" t="s">
        <v>15</v>
      </c>
      <c r="BX23" s="95">
        <f>_xlfn.IFNA(VLOOKUP(BO22,'Costo Materia Prima'!$D$3:$I$409,6,FALSE)*BV23,0)</f>
        <v>6.9066666666666665E-2</v>
      </c>
    </row>
    <row r="24" spans="1:78" x14ac:dyDescent="0.2">
      <c r="D24" s="5"/>
      <c r="E24" s="12"/>
      <c r="G24" s="78"/>
      <c r="J24" s="78"/>
      <c r="K24" s="78"/>
      <c r="O24" s="5"/>
      <c r="P24" s="12"/>
      <c r="R24" s="5"/>
      <c r="U24" s="78"/>
      <c r="V24" s="5"/>
      <c r="Z24" s="5"/>
      <c r="AA24" s="12"/>
      <c r="AC24" s="5"/>
      <c r="AD24" s="12"/>
      <c r="AF24" s="5"/>
      <c r="AV24" s="5"/>
      <c r="AY24" s="5"/>
      <c r="BB24" s="5"/>
      <c r="BO24" t="s">
        <v>512</v>
      </c>
      <c r="BP24">
        <v>0.13600000000000001</v>
      </c>
      <c r="BQ24" t="s">
        <v>15</v>
      </c>
      <c r="BR24" s="95">
        <f>_xlfn.IFNA(VLOOKUP(BO24,'Costo Materia Prima'!$D$3:$I$409,6,FALSE)*BP24,0)</f>
        <v>5.8480000000000008</v>
      </c>
      <c r="BS24" s="12">
        <f>($BI$4*BP24)/$BF$3</f>
        <v>9.0666666666666673E-2</v>
      </c>
      <c r="BT24" t="s">
        <v>15</v>
      </c>
      <c r="BU24" s="95">
        <f>_xlfn.IFNA(VLOOKUP(BO23,'Costo Materia Prima'!$D$3:$I$409,6,FALSE)*BS24,0)</f>
        <v>2.4480000000000004</v>
      </c>
      <c r="BV24" s="14">
        <f t="shared" si="11"/>
        <v>2.2666666666666668E-2</v>
      </c>
      <c r="BW24" t="s">
        <v>15</v>
      </c>
      <c r="BX24" s="95">
        <f>_xlfn.IFNA(VLOOKUP(BO23,'Costo Materia Prima'!$D$3:$I$409,6,FALSE)*BV24,0)</f>
        <v>0.6120000000000001</v>
      </c>
    </row>
    <row r="25" spans="1:78" x14ac:dyDescent="0.2">
      <c r="D25" s="5"/>
      <c r="G25" s="5"/>
      <c r="J25" s="5"/>
      <c r="K25" s="5"/>
      <c r="O25" s="5"/>
      <c r="R25" s="5"/>
      <c r="U25" s="5"/>
      <c r="V25" s="5"/>
      <c r="Z25" s="78"/>
      <c r="AC25" s="78"/>
      <c r="AF25" s="78"/>
      <c r="AK25" s="5"/>
      <c r="AN25" s="78"/>
      <c r="AQ25" s="78"/>
      <c r="AV25" s="78"/>
      <c r="AY25" s="78"/>
      <c r="BB25" s="78"/>
    </row>
    <row r="27" spans="1:78" x14ac:dyDescent="0.2">
      <c r="A27" t="s">
        <v>443</v>
      </c>
      <c r="B27">
        <v>1</v>
      </c>
      <c r="C27" t="s">
        <v>21</v>
      </c>
      <c r="D27" s="13">
        <f>'Insumos 3'!$AN$8</f>
        <v>24.308399999999999</v>
      </c>
      <c r="E27">
        <v>1</v>
      </c>
      <c r="F27" t="s">
        <v>21</v>
      </c>
      <c r="G27" s="13">
        <f>'Insumos 3'!$AR$8</f>
        <v>24.306399999999996</v>
      </c>
      <c r="H27">
        <v>1</v>
      </c>
      <c r="I27" t="s">
        <v>21</v>
      </c>
      <c r="J27" s="13">
        <f>H27*'Insumos 3'!AV8</f>
        <v>6.3862000000000005</v>
      </c>
      <c r="K27" s="13"/>
      <c r="L27" t="s">
        <v>501</v>
      </c>
      <c r="M27">
        <v>1</v>
      </c>
      <c r="N27" t="s">
        <v>21</v>
      </c>
      <c r="O27" s="13">
        <f>'Insumos 3'!$AN$8</f>
        <v>24.308399999999999</v>
      </c>
      <c r="P27">
        <v>1</v>
      </c>
      <c r="Q27" t="s">
        <v>21</v>
      </c>
      <c r="R27" s="13">
        <f>'Insumos 3'!$AR$8</f>
        <v>24.306399999999996</v>
      </c>
      <c r="S27">
        <v>1</v>
      </c>
      <c r="T27" t="s">
        <v>21</v>
      </c>
      <c r="U27" s="13">
        <f>S27*'Insumos 3'!AV8</f>
        <v>6.3862000000000005</v>
      </c>
      <c r="V27" s="13"/>
      <c r="W27" t="s">
        <v>501</v>
      </c>
      <c r="X27">
        <v>1</v>
      </c>
      <c r="Y27" t="s">
        <v>21</v>
      </c>
      <c r="Z27" s="13">
        <f>'Insumos 3'!$AN$8</f>
        <v>24.308399999999999</v>
      </c>
      <c r="AA27">
        <v>1</v>
      </c>
      <c r="AB27" t="s">
        <v>21</v>
      </c>
      <c r="AC27" s="13">
        <f>'Insumos 3'!$AR$8</f>
        <v>24.306399999999996</v>
      </c>
      <c r="AD27">
        <v>1</v>
      </c>
      <c r="AE27" t="s">
        <v>21</v>
      </c>
      <c r="AF27" s="13">
        <f>AD27*'Insumos 3'!AV8</f>
        <v>6.3862000000000005</v>
      </c>
      <c r="AH27" t="s">
        <v>501</v>
      </c>
      <c r="AI27">
        <v>1</v>
      </c>
      <c r="AJ27" t="s">
        <v>21</v>
      </c>
      <c r="AK27" s="13">
        <f>'Insumos 3'!$AN$8</f>
        <v>24.308399999999999</v>
      </c>
      <c r="AL27">
        <v>1</v>
      </c>
      <c r="AM27" t="s">
        <v>21</v>
      </c>
      <c r="AN27" s="13">
        <f>'Insumos 3'!$AR$8</f>
        <v>24.306399999999996</v>
      </c>
      <c r="AO27">
        <v>1</v>
      </c>
      <c r="AP27" t="s">
        <v>21</v>
      </c>
      <c r="AQ27" s="13">
        <f>AO27*'Insumos 3'!AV8</f>
        <v>6.3862000000000005</v>
      </c>
      <c r="AS27" t="s">
        <v>501</v>
      </c>
      <c r="AT27">
        <v>1</v>
      </c>
      <c r="AU27" t="s">
        <v>21</v>
      </c>
      <c r="AV27" s="13">
        <f>'Insumos 3'!$AN$8</f>
        <v>24.308399999999999</v>
      </c>
      <c r="AW27">
        <v>1</v>
      </c>
      <c r="AX27" t="s">
        <v>21</v>
      </c>
      <c r="AY27" s="13">
        <f>'Insumos 3'!$AR$8</f>
        <v>24.306399999999996</v>
      </c>
      <c r="AZ27">
        <v>1</v>
      </c>
      <c r="BA27" t="s">
        <v>21</v>
      </c>
      <c r="BB27" s="13">
        <f>AZ27*'Insumos 3'!AV8</f>
        <v>6.3862000000000005</v>
      </c>
      <c r="BD27" t="s">
        <v>501</v>
      </c>
      <c r="BE27">
        <v>1</v>
      </c>
      <c r="BF27" t="s">
        <v>21</v>
      </c>
      <c r="BG27" s="13">
        <f>'Insumos 3'!$AN$8</f>
        <v>24.308399999999999</v>
      </c>
      <c r="BH27">
        <v>1</v>
      </c>
      <c r="BI27" t="s">
        <v>21</v>
      </c>
      <c r="BJ27" s="13">
        <f>'Insumos 3'!$AR$8</f>
        <v>24.306399999999996</v>
      </c>
      <c r="BK27">
        <v>1</v>
      </c>
      <c r="BL27" t="s">
        <v>21</v>
      </c>
      <c r="BM27" s="13">
        <f>BK27*'Insumos 3'!AV8</f>
        <v>6.3862000000000005</v>
      </c>
      <c r="BO27" t="s">
        <v>501</v>
      </c>
      <c r="BP27">
        <v>1</v>
      </c>
      <c r="BQ27" t="s">
        <v>21</v>
      </c>
      <c r="BR27" s="13">
        <f>'Insumos 3'!$AN$8</f>
        <v>24.308399999999999</v>
      </c>
      <c r="BS27">
        <v>1</v>
      </c>
      <c r="BT27" t="s">
        <v>21</v>
      </c>
      <c r="BU27" s="13">
        <f>'Insumos 3'!$AR$8</f>
        <v>24.306399999999996</v>
      </c>
      <c r="BV27">
        <v>1</v>
      </c>
      <c r="BW27" t="s">
        <v>21</v>
      </c>
      <c r="BX27" s="13">
        <f>BV27*'Insumos 3'!AV8</f>
        <v>6.3862000000000005</v>
      </c>
    </row>
    <row r="28" spans="1:78" x14ac:dyDescent="0.2">
      <c r="D28" s="13"/>
      <c r="G28" s="13"/>
      <c r="J28" s="13"/>
      <c r="K28" s="13"/>
      <c r="O28" s="13"/>
      <c r="R28" s="13"/>
      <c r="U28" s="13"/>
      <c r="V28" s="13"/>
      <c r="Z28" s="13"/>
      <c r="AC28" s="13"/>
      <c r="AF28" s="13"/>
      <c r="AK28" s="13"/>
      <c r="AN28" s="13"/>
      <c r="AQ28" s="13"/>
      <c r="AV28" s="13"/>
      <c r="AY28" s="13"/>
      <c r="BB28" s="13"/>
      <c r="BG28" s="13"/>
      <c r="BJ28" s="13"/>
      <c r="BM28" s="13"/>
      <c r="BR28" s="13"/>
      <c r="BU28" s="13"/>
      <c r="BX28" s="13"/>
    </row>
    <row r="29" spans="1:78" x14ac:dyDescent="0.2">
      <c r="A29" s="20" t="s">
        <v>502</v>
      </c>
      <c r="B29" s="20"/>
      <c r="C29" s="20"/>
      <c r="D29" s="126">
        <f>SUM(D7:D27)</f>
        <v>319.64718955886985</v>
      </c>
      <c r="E29" s="126"/>
      <c r="F29" s="126"/>
      <c r="G29" s="126">
        <f t="shared" ref="G29:J29" si="16">SUM(G7:G27)</f>
        <v>205.30522584153161</v>
      </c>
      <c r="H29" s="126"/>
      <c r="I29" s="126"/>
      <c r="J29" s="126">
        <f t="shared" si="16"/>
        <v>60.994829745107296</v>
      </c>
      <c r="K29" s="126"/>
      <c r="L29" s="20" t="s">
        <v>502</v>
      </c>
      <c r="M29" s="20"/>
      <c r="N29" s="20"/>
      <c r="O29" s="126">
        <f>SUM(O7:O27)</f>
        <v>254.16219228183817</v>
      </c>
      <c r="P29" s="126"/>
      <c r="Q29" s="126"/>
      <c r="R29" s="126">
        <f t="shared" ref="R29" si="17">SUM(R7:R27)</f>
        <v>182.33088219376373</v>
      </c>
      <c r="S29" s="126"/>
      <c r="T29" s="126"/>
      <c r="U29" s="126">
        <f t="shared" ref="U29" si="18">SUM(U7:U27)</f>
        <v>52.683416907688198</v>
      </c>
      <c r="V29" s="126"/>
      <c r="W29" s="20" t="s">
        <v>502</v>
      </c>
      <c r="X29" s="20"/>
      <c r="Y29" s="20"/>
      <c r="Z29" s="126">
        <f>SUM(Z7:Z27)</f>
        <v>250.29930284635986</v>
      </c>
      <c r="AA29" s="126"/>
      <c r="AB29" s="126"/>
      <c r="AC29" s="126">
        <f t="shared" ref="AC29" si="19">SUM(AC7:AC27)</f>
        <v>179.67514570687243</v>
      </c>
      <c r="AD29" s="126"/>
      <c r="AE29" s="126"/>
      <c r="AF29" s="126">
        <f t="shared" ref="AF29" si="20">SUM(AF7:AF27)</f>
        <v>45.518018475400901</v>
      </c>
      <c r="AH29" s="20" t="s">
        <v>502</v>
      </c>
      <c r="AI29" s="20"/>
      <c r="AJ29" s="20"/>
      <c r="AK29" s="126">
        <f>SUM(AK7:AK27)</f>
        <v>286.31469729634881</v>
      </c>
      <c r="AL29" s="126"/>
      <c r="AM29" s="126"/>
      <c r="AN29" s="126">
        <f t="shared" ref="AN29" si="21">SUM(AN7:AN27)</f>
        <v>198.97726486423255</v>
      </c>
      <c r="AO29" s="126"/>
      <c r="AP29" s="126"/>
      <c r="AQ29" s="126">
        <f t="shared" ref="AQ29" si="22">SUM(AQ7:AQ27)</f>
        <v>52.866543095633389</v>
      </c>
      <c r="AS29" s="20" t="s">
        <v>502</v>
      </c>
      <c r="AT29" s="20"/>
      <c r="AU29" s="20"/>
      <c r="AV29" s="126">
        <f>SUM(AV7:AV27)</f>
        <v>244.24055941756092</v>
      </c>
      <c r="AW29" s="126"/>
      <c r="AX29" s="126"/>
      <c r="AY29" s="126">
        <f t="shared" ref="AY29" si="23">SUM(AY7:AY27)</f>
        <v>168.30959961864107</v>
      </c>
      <c r="AZ29" s="126"/>
      <c r="BA29" s="126"/>
      <c r="BB29" s="126">
        <f t="shared" ref="BB29" si="24">SUM(BB7:BB27)</f>
        <v>51.531338550178837</v>
      </c>
      <c r="BD29" s="20" t="s">
        <v>502</v>
      </c>
      <c r="BE29" s="20"/>
      <c r="BF29" s="20"/>
      <c r="BG29" s="126">
        <f>SUM(BG7:BG27)</f>
        <v>280.56721278709</v>
      </c>
      <c r="BH29" s="126"/>
      <c r="BI29" s="126"/>
      <c r="BJ29" s="126">
        <f t="shared" ref="BJ29" si="25">SUM(BJ7:BJ27)</f>
        <v>194.38114258937796</v>
      </c>
      <c r="BK29" s="126"/>
      <c r="BL29" s="126"/>
      <c r="BM29" s="126">
        <f>SUM(BM7:BM27)</f>
        <v>56.522500773204584</v>
      </c>
      <c r="BN29" s="13"/>
      <c r="BO29" s="20" t="s">
        <v>502</v>
      </c>
      <c r="BP29" s="20"/>
      <c r="BQ29" s="20"/>
      <c r="BR29" s="126">
        <f>SUM(BR7:BR27)</f>
        <v>260.52072444318702</v>
      </c>
      <c r="BS29" s="126"/>
      <c r="BT29" s="126"/>
      <c r="BU29" s="126">
        <f>SUM(BU7:BU27)</f>
        <v>159.56780682674935</v>
      </c>
      <c r="BV29" s="126"/>
      <c r="BW29" s="126"/>
      <c r="BX29" s="126">
        <f>SUM(BX7:BX27)</f>
        <v>47.115889120204187</v>
      </c>
      <c r="BZ29" s="13"/>
    </row>
    <row r="30" spans="1:78" x14ac:dyDescent="0.2">
      <c r="D30" s="13"/>
      <c r="G30" s="13"/>
      <c r="I30" s="26"/>
      <c r="J30" s="13"/>
      <c r="K30" s="13"/>
      <c r="O30" s="13"/>
      <c r="R30" s="13"/>
      <c r="T30" s="26"/>
      <c r="U30" s="13"/>
      <c r="V30" s="13"/>
      <c r="Z30" s="13"/>
      <c r="AC30" s="13"/>
      <c r="AE30" s="26"/>
      <c r="AF30" s="13"/>
      <c r="AK30" s="13"/>
      <c r="AN30" s="13"/>
      <c r="AP30" s="26"/>
      <c r="AQ30" s="13"/>
      <c r="AV30" s="13"/>
      <c r="AY30" s="13"/>
      <c r="BA30" s="26"/>
      <c r="BB30" s="13"/>
      <c r="BG30" s="13"/>
      <c r="BJ30" s="13"/>
      <c r="BL30" s="26"/>
      <c r="BM30" s="13"/>
      <c r="BR30" s="13"/>
      <c r="BU30" s="13"/>
      <c r="BW30" s="239"/>
      <c r="BX30" s="13"/>
    </row>
    <row r="31" spans="1:78" x14ac:dyDescent="0.2">
      <c r="A31" t="s">
        <v>643</v>
      </c>
      <c r="B31" s="26">
        <v>0.55000000000000004</v>
      </c>
      <c r="D31" s="13">
        <f>(D29/(1-B31))</f>
        <v>710.32708790859976</v>
      </c>
      <c r="G31" s="13">
        <f>(G29/(1-B31))</f>
        <v>456.2338352034036</v>
      </c>
      <c r="I31" s="26"/>
      <c r="J31" s="13">
        <f>(J29/(1-B31))</f>
        <v>135.54406610023844</v>
      </c>
      <c r="L31" t="s">
        <v>643</v>
      </c>
      <c r="M31" s="26">
        <v>0.55000000000000004</v>
      </c>
      <c r="O31" s="13">
        <f>(O29/(1-M31))</f>
        <v>564.80487173741824</v>
      </c>
      <c r="R31" s="13">
        <f>(R29/(1-M31))</f>
        <v>405.17973820836386</v>
      </c>
      <c r="T31" s="26"/>
      <c r="U31" s="13">
        <f>(U29/(1-M31))</f>
        <v>117.07425979486267</v>
      </c>
      <c r="W31" t="s">
        <v>643</v>
      </c>
      <c r="X31" s="26">
        <v>0.55000000000000004</v>
      </c>
      <c r="Z31" s="13">
        <f>(Z29/(1-X31))</f>
        <v>556.22067299191087</v>
      </c>
      <c r="AC31" s="13">
        <f>(AC29/(1-X31))</f>
        <v>399.27810157082763</v>
      </c>
      <c r="AE31" s="26"/>
      <c r="AF31" s="13">
        <f>(AF29/(1-X31))</f>
        <v>101.15115216755757</v>
      </c>
      <c r="AH31" t="s">
        <v>643</v>
      </c>
      <c r="AI31" s="26">
        <v>0.55000000000000004</v>
      </c>
      <c r="AK31" s="13">
        <f>(AK29/(1-AI31))</f>
        <v>636.2548828807752</v>
      </c>
      <c r="AN31" s="13">
        <f>(AN29/(1-AI31))</f>
        <v>442.17169969829462</v>
      </c>
      <c r="AP31" s="26"/>
      <c r="AQ31" s="13">
        <f>(AQ29/(1-AI31))</f>
        <v>117.48120687918532</v>
      </c>
      <c r="AS31" t="s">
        <v>643</v>
      </c>
      <c r="AT31" s="26">
        <v>0.55000000000000004</v>
      </c>
      <c r="AV31" s="13">
        <f>(AV29/(1-AT31))</f>
        <v>542.75679870569093</v>
      </c>
      <c r="AY31" s="13">
        <f>(AY29/(1-AT31))</f>
        <v>374.0213324858691</v>
      </c>
      <c r="BA31" s="26"/>
      <c r="BB31" s="13">
        <f>(BB29/(1-AT31))</f>
        <v>114.51408566706409</v>
      </c>
      <c r="BD31" t="s">
        <v>643</v>
      </c>
      <c r="BE31" s="26">
        <v>0.55000000000000004</v>
      </c>
      <c r="BG31" s="13">
        <f>(BG29/(1-BE31))</f>
        <v>623.48269508242231</v>
      </c>
      <c r="BJ31" s="13">
        <f>(BJ29/(1-BE31))</f>
        <v>431.95809464306217</v>
      </c>
      <c r="BL31" s="26"/>
      <c r="BM31" s="13">
        <f>(BM29/(1-BE31))</f>
        <v>125.60555727378798</v>
      </c>
      <c r="BO31" t="s">
        <v>643</v>
      </c>
      <c r="BP31" s="239">
        <v>0.55000000000000004</v>
      </c>
      <c r="BR31" s="13">
        <f>(BR29/(1-BP31))</f>
        <v>578.93494320708237</v>
      </c>
      <c r="BU31" s="13">
        <f>(BU29/(1-BP31))</f>
        <v>354.59512628166527</v>
      </c>
      <c r="BW31" s="239"/>
      <c r="BX31" s="13">
        <f>(BX29/(1-BP31))</f>
        <v>104.70197582267598</v>
      </c>
    </row>
    <row r="32" spans="1:78" x14ac:dyDescent="0.2">
      <c r="V32" s="5"/>
    </row>
    <row r="33" spans="1:76" x14ac:dyDescent="0.2">
      <c r="A33" t="s">
        <v>644</v>
      </c>
      <c r="D33" s="26">
        <f>D29/D31</f>
        <v>0.44999999999999996</v>
      </c>
      <c r="G33" s="26">
        <f>G29/G31</f>
        <v>0.44999999999999996</v>
      </c>
      <c r="J33" s="26">
        <f>J29/J31</f>
        <v>0.45</v>
      </c>
      <c r="K33" s="26"/>
      <c r="L33" t="s">
        <v>644</v>
      </c>
      <c r="O33" s="26">
        <f>O29/O31</f>
        <v>0.44999999999999996</v>
      </c>
      <c r="R33" s="26">
        <f>R29/R31</f>
        <v>0.44999999999999996</v>
      </c>
      <c r="U33" s="26">
        <f>U29/U31</f>
        <v>0.44999999999999996</v>
      </c>
      <c r="V33" s="26"/>
      <c r="W33" t="s">
        <v>644</v>
      </c>
      <c r="Z33" s="26">
        <f>Z29/Z31</f>
        <v>0.44999999999999996</v>
      </c>
      <c r="AC33" s="26">
        <f>AC29/AC31</f>
        <v>0.45</v>
      </c>
      <c r="AF33" s="26">
        <f>AF29/AF31</f>
        <v>0.44999999999999996</v>
      </c>
      <c r="AH33" t="s">
        <v>644</v>
      </c>
      <c r="AK33" s="26">
        <f>AK29/AK31</f>
        <v>0.44999999999999996</v>
      </c>
      <c r="AN33" s="26">
        <f>AN29/AN31</f>
        <v>0.44999999999999996</v>
      </c>
      <c r="AQ33" s="26">
        <f>AQ29/AQ31</f>
        <v>0.44999999999999996</v>
      </c>
      <c r="AS33" t="s">
        <v>644</v>
      </c>
      <c r="AV33" s="26">
        <f>AV29/AV31</f>
        <v>0.45</v>
      </c>
      <c r="AY33" s="26">
        <f>AY29/AY31</f>
        <v>0.44999999999999996</v>
      </c>
      <c r="BB33" s="26">
        <f>BB29/BB31</f>
        <v>0.44999999999999996</v>
      </c>
      <c r="BD33" t="s">
        <v>644</v>
      </c>
      <c r="BG33" s="26">
        <f>BG29/BG31</f>
        <v>0.44999999999999996</v>
      </c>
      <c r="BJ33" s="26">
        <f>BJ29/BJ31</f>
        <v>0.44999999999999996</v>
      </c>
      <c r="BM33" s="26">
        <f>BM29/BM31</f>
        <v>0.44999999999999996</v>
      </c>
      <c r="BO33" t="s">
        <v>644</v>
      </c>
      <c r="BR33" s="239">
        <f>BR29/BR31</f>
        <v>0.4499999999999999</v>
      </c>
      <c r="BU33" s="239">
        <f>BU29/BU31</f>
        <v>0.44999999999999996</v>
      </c>
      <c r="BX33" s="239">
        <f>BX29/BX31</f>
        <v>0.44999999999999996</v>
      </c>
    </row>
    <row r="34" spans="1:76" ht="15" customHeight="1" x14ac:dyDescent="0.2">
      <c r="U34" s="26"/>
      <c r="V34" s="26"/>
    </row>
    <row r="35" spans="1:76" x14ac:dyDescent="0.2">
      <c r="D35" s="204"/>
      <c r="G35" s="26"/>
      <c r="J35" s="26"/>
      <c r="K35" s="26"/>
      <c r="O35" s="204"/>
      <c r="R35" s="26"/>
      <c r="U35" s="26"/>
      <c r="V35" s="26"/>
      <c r="Z35" s="26"/>
      <c r="AC35" s="26"/>
      <c r="AE35" s="13"/>
      <c r="AF35" s="26"/>
      <c r="AK35" s="26"/>
      <c r="AN35" s="26"/>
      <c r="AO35" s="13"/>
      <c r="AQ35" s="26"/>
      <c r="AV35" s="26"/>
      <c r="AY35" s="26"/>
      <c r="BB35" s="204"/>
    </row>
    <row r="36" spans="1:76" x14ac:dyDescent="0.2">
      <c r="A36" s="26"/>
      <c r="C36" s="26"/>
      <c r="F36" s="26"/>
      <c r="G36" s="13"/>
      <c r="I36" s="26"/>
      <c r="N36" s="26"/>
      <c r="Q36" s="26"/>
      <c r="R36" s="13"/>
      <c r="T36" s="26"/>
      <c r="U36" s="13"/>
      <c r="Y36" s="26"/>
      <c r="AB36" s="26"/>
      <c r="AC36" s="13"/>
      <c r="AE36" s="26"/>
      <c r="AJ36" s="26"/>
      <c r="AM36" s="26"/>
      <c r="AP36" s="26"/>
      <c r="AU36" s="26"/>
      <c r="AX36" s="26"/>
      <c r="BA36" s="26"/>
    </row>
    <row r="37" spans="1:76" x14ac:dyDescent="0.2">
      <c r="D37" s="13"/>
      <c r="Z37" s="13"/>
      <c r="AV37" s="13"/>
    </row>
    <row r="38" spans="1:76" x14ac:dyDescent="0.2">
      <c r="J38" s="13"/>
      <c r="AJ38" s="13"/>
    </row>
  </sheetData>
  <mergeCells count="29">
    <mergeCell ref="BO2:BX2"/>
    <mergeCell ref="BP5:BR5"/>
    <mergeCell ref="BS5:BU5"/>
    <mergeCell ref="BV5:BX5"/>
    <mergeCell ref="BE5:BG5"/>
    <mergeCell ref="BH5:BJ5"/>
    <mergeCell ref="BK5:BM5"/>
    <mergeCell ref="BD2:BM2"/>
    <mergeCell ref="S5:U5"/>
    <mergeCell ref="S1:T1"/>
    <mergeCell ref="AT5:AV5"/>
    <mergeCell ref="AW5:AY5"/>
    <mergeCell ref="AI5:AK5"/>
    <mergeCell ref="AL5:AN5"/>
    <mergeCell ref="X5:Z5"/>
    <mergeCell ref="AA5:AC5"/>
    <mergeCell ref="AO5:AQ5"/>
    <mergeCell ref="AD5:AF5"/>
    <mergeCell ref="AH2:AQ2"/>
    <mergeCell ref="AS2:BB2"/>
    <mergeCell ref="W2:AF2"/>
    <mergeCell ref="L2:U2"/>
    <mergeCell ref="AZ5:BB5"/>
    <mergeCell ref="A2:G2"/>
    <mergeCell ref="B5:D5"/>
    <mergeCell ref="E5:G5"/>
    <mergeCell ref="M5:O5"/>
    <mergeCell ref="P5:R5"/>
    <mergeCell ref="H5:J5"/>
  </mergeCells>
  <pageMargins left="0.70866141732283472" right="0.70866141732283472" top="0.74803149606299213" bottom="0.74803149606299213" header="0.31496062992125984" footer="0.31496062992125984"/>
  <pageSetup scale="85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566014CA-0852-354D-B5C1-61E76A36A212}">
          <x14:formula1>
            <xm:f>'Costo Materia Prima'!$D$3:$D$239</xm:f>
          </x14:formula1>
          <xm:sqref>AS8:AS14 AS16:AS25 BD15:BD22 BO14:BO23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7EA9F0-4869-E143-A8EE-4B0392703AEE}">
  <sheetPr codeName="Hoja1">
    <pageSetUpPr fitToPage="1"/>
  </sheetPr>
  <dimension ref="A2:K42"/>
  <sheetViews>
    <sheetView zoomScale="82" workbookViewId="0">
      <selection activeCell="C30" sqref="C30"/>
    </sheetView>
  </sheetViews>
  <sheetFormatPr baseColWidth="10" defaultColWidth="11.5" defaultRowHeight="15" x14ac:dyDescent="0.2"/>
  <cols>
    <col min="2" max="2" width="15.83203125" bestFit="1" customWidth="1"/>
  </cols>
  <sheetData>
    <row r="2" spans="1:11" x14ac:dyDescent="0.2">
      <c r="C2" s="310" t="s">
        <v>662</v>
      </c>
      <c r="D2" s="310"/>
      <c r="E2" s="310"/>
      <c r="F2" s="310"/>
      <c r="G2" s="310"/>
      <c r="H2" s="310"/>
    </row>
    <row r="3" spans="1:11" ht="16" thickBot="1" x14ac:dyDescent="0.25">
      <c r="A3" s="143" t="s">
        <v>2</v>
      </c>
      <c r="B3" s="143" t="s">
        <v>661</v>
      </c>
      <c r="C3" s="143" t="s">
        <v>375</v>
      </c>
      <c r="D3" s="143" t="s">
        <v>370</v>
      </c>
      <c r="E3" s="143" t="s">
        <v>371</v>
      </c>
      <c r="F3" s="143" t="s">
        <v>372</v>
      </c>
      <c r="G3" s="143" t="s">
        <v>373</v>
      </c>
      <c r="H3" s="143" t="s">
        <v>413</v>
      </c>
    </row>
    <row r="4" spans="1:11" x14ac:dyDescent="0.2">
      <c r="A4" s="20" t="s">
        <v>414</v>
      </c>
      <c r="B4" s="153" t="s">
        <v>50</v>
      </c>
      <c r="C4" s="13">
        <f>Pay!C53</f>
        <v>18.916120952964206</v>
      </c>
      <c r="D4" s="5">
        <v>0</v>
      </c>
      <c r="E4" s="5">
        <v>0</v>
      </c>
      <c r="F4" s="13">
        <f>Pay!D53</f>
        <v>140.58422840484874</v>
      </c>
      <c r="G4" s="13">
        <f>Pay!E53</f>
        <v>240.03392647362585</v>
      </c>
      <c r="H4" s="13">
        <f>Pay!F53</f>
        <v>32.704880809203232</v>
      </c>
      <c r="I4" s="13"/>
    </row>
    <row r="5" spans="1:11" x14ac:dyDescent="0.2">
      <c r="A5" s="20"/>
      <c r="B5" s="153" t="s">
        <v>103</v>
      </c>
      <c r="C5" s="13">
        <f>Pay!C54</f>
        <v>19.055935486006504</v>
      </c>
      <c r="D5" s="5">
        <v>0</v>
      </c>
      <c r="E5" s="5">
        <v>0</v>
      </c>
      <c r="F5" s="13">
        <f>Pay!D54</f>
        <v>148.26907472378448</v>
      </c>
      <c r="G5" s="13">
        <f>Pay!E54</f>
        <v>240.58042103579899</v>
      </c>
      <c r="H5" s="13">
        <f>Pay!F54</f>
        <v>32.77319262947487</v>
      </c>
    </row>
    <row r="6" spans="1:11" x14ac:dyDescent="0.2">
      <c r="A6" s="20"/>
      <c r="B6" s="153" t="s">
        <v>415</v>
      </c>
      <c r="C6" s="13">
        <f>Pay!C55</f>
        <v>20.11006006739197</v>
      </c>
      <c r="D6" s="5">
        <v>0</v>
      </c>
      <c r="E6" s="5">
        <v>0</v>
      </c>
      <c r="F6" s="13">
        <f>Pay!D55</f>
        <v>135.33744111154036</v>
      </c>
      <c r="G6" s="13">
        <f>Pay!E55</f>
        <v>229.02897713660425</v>
      </c>
      <c r="H6" s="13">
        <f>Pay!F55</f>
        <v>31.329262142075532</v>
      </c>
    </row>
    <row r="7" spans="1:11" x14ac:dyDescent="0.2">
      <c r="A7" s="20"/>
      <c r="B7" s="153" t="s">
        <v>416</v>
      </c>
      <c r="C7" s="13">
        <f>Pay!C57</f>
        <v>18.623235486006504</v>
      </c>
      <c r="D7" s="5">
        <v>0</v>
      </c>
      <c r="E7" s="5">
        <v>0</v>
      </c>
      <c r="F7" s="13">
        <f>Pay!D57</f>
        <v>139.81162147703122</v>
      </c>
      <c r="G7" s="13">
        <f>Pay!E57</f>
        <v>238.53794441242235</v>
      </c>
      <c r="H7" s="13">
        <f>Pay!F57</f>
        <v>32.517883051552793</v>
      </c>
    </row>
    <row r="8" spans="1:11" x14ac:dyDescent="0.2">
      <c r="A8" s="20"/>
      <c r="B8" s="153" t="s">
        <v>417</v>
      </c>
      <c r="C8" s="13">
        <f>Pay!C58</f>
        <v>0</v>
      </c>
      <c r="D8" s="5">
        <v>0</v>
      </c>
      <c r="E8" s="5">
        <v>0</v>
      </c>
      <c r="F8" s="13">
        <f>Pay!D58</f>
        <v>86.851881230638298</v>
      </c>
      <c r="G8" s="13">
        <f>Pay!E58</f>
        <v>148.87704400176742</v>
      </c>
      <c r="H8" s="13">
        <f>Pay!F58</f>
        <v>21.310270500220927</v>
      </c>
    </row>
    <row r="9" spans="1:11" ht="16" thickBot="1" x14ac:dyDescent="0.25">
      <c r="A9" s="107"/>
      <c r="B9" s="154" t="s">
        <v>418</v>
      </c>
      <c r="C9" s="86">
        <f>Pay!C59</f>
        <v>0</v>
      </c>
      <c r="D9" s="100">
        <v>0</v>
      </c>
      <c r="E9" s="100">
        <v>0</v>
      </c>
      <c r="F9" s="86">
        <f>Pay!D59</f>
        <v>115.18762147703123</v>
      </c>
      <c r="G9" s="86">
        <f>Pay!E59</f>
        <v>195.44594441242236</v>
      </c>
      <c r="H9" s="86">
        <f>Pay!F59</f>
        <v>27.131383051552795</v>
      </c>
    </row>
    <row r="10" spans="1:11" ht="16" thickTop="1" x14ac:dyDescent="0.2">
      <c r="A10" s="20" t="s">
        <v>400</v>
      </c>
      <c r="B10" s="153" t="s">
        <v>419</v>
      </c>
      <c r="C10" s="5">
        <f>'Pastel Fresas Con Crema'!D12</f>
        <v>0</v>
      </c>
      <c r="D10" s="5">
        <f>'Pastel Fresas Con Crema'!E12</f>
        <v>77.965623374933188</v>
      </c>
      <c r="E10" s="5">
        <f>'Pastel Fresas Con Crema'!F12</f>
        <v>149.61920204563998</v>
      </c>
      <c r="F10" s="5">
        <f>'Pastel Fresas Con Crema'!G12</f>
        <v>210.11334875667566</v>
      </c>
      <c r="G10" s="5">
        <f>'Pastel Fresas Con Crema'!H12</f>
        <v>338.61711103856743</v>
      </c>
      <c r="H10" s="5">
        <f>'Pastel Fresas Con Crema'!C12</f>
        <v>23.818474875667565</v>
      </c>
    </row>
    <row r="11" spans="1:11" x14ac:dyDescent="0.2">
      <c r="B11" s="153" t="s">
        <v>420</v>
      </c>
      <c r="C11" s="5">
        <v>0</v>
      </c>
      <c r="D11" s="5">
        <f>'Pastel 3 Pecados'!E18</f>
        <v>64.125646074693776</v>
      </c>
      <c r="E11" s="5">
        <f>'Pastel 3 Pecados'!F18</f>
        <v>163.26597082490252</v>
      </c>
      <c r="F11" s="5">
        <f>'Pastel 3 Pecados'!G18</f>
        <v>234.88561968375589</v>
      </c>
      <c r="G11" s="5">
        <f>'Pastel 3 Pecados'!H18</f>
        <v>350.57494438357611</v>
      </c>
      <c r="H11" s="5">
        <f>'Pastel 3 Pecados'!C18</f>
        <v>26.295701968375589</v>
      </c>
    </row>
    <row r="12" spans="1:11" x14ac:dyDescent="0.2">
      <c r="B12" s="153" t="s">
        <v>180</v>
      </c>
      <c r="C12" s="5">
        <v>0</v>
      </c>
      <c r="D12" s="5">
        <v>0</v>
      </c>
      <c r="E12" s="5">
        <f>'Pastel Zanahoria'!F12</f>
        <v>151.95678580439059</v>
      </c>
      <c r="F12" s="5">
        <f>'Pastel Zanahoria'!G12</f>
        <v>207.49008460687799</v>
      </c>
      <c r="G12" s="5">
        <f>'Pastel Zanahoria'!H12</f>
        <v>317.43002436145383</v>
      </c>
      <c r="H12" s="5">
        <f>'Pastel Zanahoria'!C12</f>
        <v>23.556148460687798</v>
      </c>
    </row>
    <row r="13" spans="1:11" x14ac:dyDescent="0.2">
      <c r="B13" s="153" t="s">
        <v>421</v>
      </c>
      <c r="C13" s="5">
        <v>0</v>
      </c>
      <c r="D13" s="5">
        <f>'Pastel Chocolate'!E12</f>
        <v>59.756374319030144</v>
      </c>
      <c r="E13" s="5">
        <v>0</v>
      </c>
      <c r="F13" s="5">
        <v>0</v>
      </c>
      <c r="G13" s="5">
        <v>0</v>
      </c>
      <c r="H13" s="5">
        <v>0</v>
      </c>
      <c r="J13" s="13"/>
      <c r="K13" s="13"/>
    </row>
    <row r="14" spans="1:11" x14ac:dyDescent="0.2">
      <c r="B14" s="153" t="s">
        <v>422</v>
      </c>
      <c r="C14" s="5">
        <v>0</v>
      </c>
      <c r="D14" s="5">
        <f>'Pastel Crunch'!E14</f>
        <v>80.227256064779255</v>
      </c>
      <c r="E14" s="5">
        <f>'Pastel Crunch'!F14</f>
        <v>166.48930193323253</v>
      </c>
      <c r="F14" s="5">
        <f>'Pastel Crunch'!G14</f>
        <v>242.04423851217277</v>
      </c>
      <c r="G14" s="5">
        <f>'Pastel Crunch'!H14</f>
        <v>338.62657154815975</v>
      </c>
      <c r="H14" s="5">
        <f>'Pastel Crunch'!C14</f>
        <v>27.011563851217279</v>
      </c>
    </row>
    <row r="15" spans="1:11" x14ac:dyDescent="0.2">
      <c r="B15" s="153" t="s">
        <v>423</v>
      </c>
      <c r="C15" s="5">
        <v>0</v>
      </c>
      <c r="D15" s="5">
        <f>'Pastel Snicker''s'!E14</f>
        <v>33.131040509070317</v>
      </c>
      <c r="E15" s="5">
        <f>'Pastel Snicker''s'!F14</f>
        <v>201.96184294061075</v>
      </c>
      <c r="F15" s="5">
        <f>'Pastel Snicker''s'!G14</f>
        <v>281.62808692026692</v>
      </c>
      <c r="G15" s="5">
        <f>'Pastel Snicker''s'!H14</f>
        <v>392.15336417384646</v>
      </c>
      <c r="H15" s="5">
        <f>'Pastel Snicker''s'!C14</f>
        <v>30.969948692026694</v>
      </c>
    </row>
    <row r="16" spans="1:11" x14ac:dyDescent="0.2">
      <c r="B16" s="153" t="s">
        <v>188</v>
      </c>
      <c r="C16" s="5">
        <v>0</v>
      </c>
      <c r="D16" s="5">
        <f>'Pastel Vainilla'!E12</f>
        <v>0</v>
      </c>
      <c r="E16" s="5">
        <f>'Pastel Vainilla'!F12</f>
        <v>146.85589945825851</v>
      </c>
      <c r="F16" s="5">
        <f>'Pastel Vainilla'!G12</f>
        <v>205.71167553175775</v>
      </c>
      <c r="G16" s="5">
        <f>'Pastel Vainilla'!H12</f>
        <v>330.05251031426832</v>
      </c>
      <c r="H16" s="5">
        <f>'Pastel Vainilla'!C12</f>
        <v>17.49272994582585</v>
      </c>
    </row>
    <row r="17" spans="1:8" x14ac:dyDescent="0.2">
      <c r="B17" s="153" t="s">
        <v>403</v>
      </c>
      <c r="C17" s="5">
        <v>0</v>
      </c>
      <c r="D17" s="5">
        <v>0</v>
      </c>
      <c r="E17" s="5">
        <v>0</v>
      </c>
      <c r="F17" s="5">
        <f>'Pastel 3 Leches'!D13</f>
        <v>176.71614862042193</v>
      </c>
      <c r="G17" s="5">
        <f>'Pastel 3 Leches'!E13</f>
        <v>401.53172146155487</v>
      </c>
      <c r="H17" s="5">
        <f>'Pastel 3 Leches'!C13</f>
        <v>32.259831436736988</v>
      </c>
    </row>
    <row r="18" spans="1:8" x14ac:dyDescent="0.2">
      <c r="B18" s="153" t="s">
        <v>424</v>
      </c>
      <c r="C18" s="5">
        <f>'Pastel 3 Leches Lotus'!F14</f>
        <v>41.388219918636409</v>
      </c>
      <c r="D18" s="5"/>
      <c r="E18" s="5"/>
      <c r="F18" s="5">
        <f>'Pastel 3 Leches Lotus'!D14</f>
        <v>188.12780582343345</v>
      </c>
      <c r="G18" s="5">
        <f>'Pastel 3 Leches Lotus'!E14</f>
        <v>504.65497069404626</v>
      </c>
      <c r="H18" s="5">
        <f>'Pastel 3 Leches Lotus'!C14</f>
        <v>34.161774303905574</v>
      </c>
    </row>
    <row r="19" spans="1:8" ht="16" thickBot="1" x14ac:dyDescent="0.25">
      <c r="A19" s="98"/>
      <c r="B19" s="154" t="s">
        <v>425</v>
      </c>
      <c r="C19" s="86">
        <f>Flan!D9</f>
        <v>22.945849526384077</v>
      </c>
      <c r="D19" s="86">
        <v>0</v>
      </c>
      <c r="E19" s="86">
        <v>0</v>
      </c>
      <c r="F19" s="86">
        <f>Flan!G9</f>
        <v>241.70638507785463</v>
      </c>
      <c r="G19" s="86">
        <v>0</v>
      </c>
      <c r="H19" s="86">
        <f>Flan!I9</f>
        <v>0</v>
      </c>
    </row>
    <row r="20" spans="1:8" ht="16" thickTop="1" x14ac:dyDescent="0.2">
      <c r="A20" s="20" t="s">
        <v>426</v>
      </c>
      <c r="B20" s="153" t="s">
        <v>427</v>
      </c>
      <c r="D20" s="13">
        <f>Vasos!D24</f>
        <v>17.018194862990953</v>
      </c>
      <c r="G20" s="13">
        <f>Vasos!C24</f>
        <v>32.405495132705255</v>
      </c>
    </row>
    <row r="21" spans="1:8" x14ac:dyDescent="0.2">
      <c r="B21" s="153" t="s">
        <v>428</v>
      </c>
      <c r="D21" s="13">
        <f>Vasos!D25</f>
        <v>29.233566388767347</v>
      </c>
      <c r="G21" s="13">
        <f>Vasos!C25</f>
        <v>44.620866658481646</v>
      </c>
    </row>
    <row r="22" spans="1:8" ht="16" thickBot="1" x14ac:dyDescent="0.25">
      <c r="A22" s="98"/>
      <c r="B22" s="154" t="s">
        <v>429</v>
      </c>
      <c r="C22" s="98"/>
      <c r="D22" s="86">
        <f>Vasos!D26</f>
        <v>9.8099053300280463</v>
      </c>
      <c r="E22" s="98"/>
      <c r="F22" s="98"/>
      <c r="G22" s="86">
        <f>Vasos!C26</f>
        <v>17.087879875159075</v>
      </c>
      <c r="H22" s="98"/>
    </row>
    <row r="23" spans="1:8" ht="16" thickTop="1" x14ac:dyDescent="0.2">
      <c r="A23" s="20" t="s">
        <v>374</v>
      </c>
      <c r="B23" s="153" t="s">
        <v>421</v>
      </c>
      <c r="C23" s="5">
        <f>Bollos!D14</f>
        <v>14.435269071148177</v>
      </c>
      <c r="D23" s="5">
        <f>'Pastel Fresas Con Crema'!E24</f>
        <v>0</v>
      </c>
      <c r="E23" s="5">
        <f>'Pastel Fresas Con Crema'!F24</f>
        <v>0</v>
      </c>
      <c r="F23" s="5">
        <f>'Pastel Fresas Con Crema'!G24</f>
        <v>0</v>
      </c>
      <c r="G23" s="5">
        <f>'Pastel Fresas Con Crema'!H24</f>
        <v>0</v>
      </c>
      <c r="H23" s="5">
        <f>'Pastel Fresas Con Crema'!C24</f>
        <v>0</v>
      </c>
    </row>
    <row r="24" spans="1:8" x14ac:dyDescent="0.2">
      <c r="B24" s="153" t="s">
        <v>183</v>
      </c>
      <c r="C24" s="5">
        <f>Bollos!C14</f>
        <v>12.485674791346026</v>
      </c>
      <c r="D24" s="5" t="e">
        <f>'Pastel 3 Pecados'!#REF!</f>
        <v>#REF!</v>
      </c>
      <c r="E24" s="5" t="e">
        <f>'Pastel 3 Pecados'!#REF!</f>
        <v>#REF!</v>
      </c>
      <c r="F24" s="5" t="e">
        <f>'Pastel 3 Pecados'!#REF!</f>
        <v>#REF!</v>
      </c>
      <c r="G24" s="5" t="e">
        <f>'Pastel 3 Pecados'!#REF!</f>
        <v>#REF!</v>
      </c>
      <c r="H24" s="5" t="e">
        <f>'Pastel 3 Pecados'!#REF!</f>
        <v>#REF!</v>
      </c>
    </row>
    <row r="25" spans="1:8" x14ac:dyDescent="0.2">
      <c r="B25" s="153" t="s">
        <v>180</v>
      </c>
      <c r="C25" s="5">
        <f>Bollos!F14</f>
        <v>12.928453259392407</v>
      </c>
      <c r="D25" s="5">
        <v>0</v>
      </c>
      <c r="E25" s="5">
        <f>'Pastel Zanahoria'!F21</f>
        <v>0</v>
      </c>
      <c r="F25" s="5">
        <f>'Pastel Zanahoria'!G21</f>
        <v>0</v>
      </c>
      <c r="G25" s="5">
        <f>'Pastel Zanahoria'!H21</f>
        <v>0</v>
      </c>
      <c r="H25" s="5">
        <f>'Pastel Zanahoria'!C21</f>
        <v>0</v>
      </c>
    </row>
    <row r="26" spans="1:8" x14ac:dyDescent="0.2">
      <c r="B26" s="153" t="s">
        <v>430</v>
      </c>
      <c r="C26" s="5">
        <f>Bollos!E14</f>
        <v>13.970432842663369</v>
      </c>
      <c r="D26" s="5">
        <f>'Pastel Chocolate'!E24</f>
        <v>0</v>
      </c>
      <c r="E26" s="5">
        <f>'Pastel Chocolate'!F24</f>
        <v>0</v>
      </c>
      <c r="F26" s="5">
        <f>'Pastel Chocolate'!G24</f>
        <v>0</v>
      </c>
      <c r="G26" s="5">
        <f>'Pastel Chocolate'!H24</f>
        <v>0</v>
      </c>
      <c r="H26" s="5">
        <f>'Pastel Chocolate'!C24</f>
        <v>0</v>
      </c>
    </row>
    <row r="27" spans="1:8" ht="16" thickBot="1" x14ac:dyDescent="0.25">
      <c r="A27" s="98"/>
      <c r="B27" s="154" t="s">
        <v>431</v>
      </c>
      <c r="C27" s="100">
        <f>Bollos!G14</f>
        <v>20.155525330746912</v>
      </c>
      <c r="D27" s="100">
        <f>'Pastel Crunch'!E26</f>
        <v>0</v>
      </c>
      <c r="E27" s="100">
        <f>'Pastel Crunch'!F26</f>
        <v>0</v>
      </c>
      <c r="F27" s="100">
        <f>'Pastel Crunch'!G26</f>
        <v>0</v>
      </c>
      <c r="G27" s="100">
        <f>'Pastel Crunch'!H26</f>
        <v>0</v>
      </c>
      <c r="H27" s="100">
        <f>'Pastel Crunch'!C26</f>
        <v>0</v>
      </c>
    </row>
    <row r="28" spans="1:8" ht="16" thickTop="1" x14ac:dyDescent="0.2">
      <c r="A28" s="20" t="s">
        <v>432</v>
      </c>
      <c r="B28" s="153" t="s">
        <v>431</v>
      </c>
      <c r="C28" s="5">
        <f>Cheesecake!J29</f>
        <v>60.994829745107296</v>
      </c>
      <c r="D28" s="5">
        <v>0</v>
      </c>
      <c r="E28" s="5">
        <f>Cheesecake!G29</f>
        <v>205.30522584153161</v>
      </c>
      <c r="F28" s="5">
        <f>Cheesecake!D29</f>
        <v>319.64718955886985</v>
      </c>
      <c r="G28" s="5">
        <v>0</v>
      </c>
      <c r="H28" s="5">
        <f>'Pastel Fresas Con Crema'!C29</f>
        <v>0</v>
      </c>
    </row>
    <row r="29" spans="1:8" x14ac:dyDescent="0.2">
      <c r="B29" s="153" t="s">
        <v>433</v>
      </c>
      <c r="C29" s="5">
        <f>Cheesecake!U29</f>
        <v>52.683416907688198</v>
      </c>
      <c r="D29" s="5">
        <f>'Pastel 3 Pecados'!E31</f>
        <v>0</v>
      </c>
      <c r="E29" s="5">
        <f>Cheesecake!R29</f>
        <v>182.33088219376373</v>
      </c>
      <c r="F29" s="5">
        <f>Cheesecake!O29</f>
        <v>254.16219228183817</v>
      </c>
      <c r="G29" s="5">
        <f>'Pastel 3 Pecados'!H31</f>
        <v>0</v>
      </c>
      <c r="H29" s="5">
        <f>'Pastel 3 Pecados'!C31</f>
        <v>0</v>
      </c>
    </row>
    <row r="30" spans="1:8" x14ac:dyDescent="0.2">
      <c r="B30" s="153" t="s">
        <v>396</v>
      </c>
      <c r="C30" s="5">
        <f>Cheesecake!AF29</f>
        <v>45.518018475400901</v>
      </c>
      <c r="D30" s="5">
        <v>0</v>
      </c>
      <c r="E30" s="5">
        <f>Cheesecake!AC29</f>
        <v>179.67514570687243</v>
      </c>
      <c r="F30" s="5">
        <f>Cheesecake!Z29</f>
        <v>250.29930284635986</v>
      </c>
      <c r="G30" s="5">
        <v>0</v>
      </c>
      <c r="H30" s="5">
        <v>0</v>
      </c>
    </row>
    <row r="31" spans="1:8" x14ac:dyDescent="0.2">
      <c r="B31" s="124" t="s">
        <v>635</v>
      </c>
      <c r="C31" s="5">
        <f>Cheesecake!AQ29</f>
        <v>52.866543095633389</v>
      </c>
      <c r="D31" s="5">
        <v>0</v>
      </c>
      <c r="E31" s="5">
        <f>Cheesecake!AN29</f>
        <v>198.97726486423255</v>
      </c>
      <c r="F31" s="5">
        <f>Cheesecake!AK29</f>
        <v>286.31469729634881</v>
      </c>
      <c r="G31" s="5">
        <v>0</v>
      </c>
      <c r="H31" s="5">
        <v>0</v>
      </c>
    </row>
    <row r="32" spans="1:8" x14ac:dyDescent="0.2">
      <c r="B32" s="124" t="s">
        <v>180</v>
      </c>
      <c r="C32" s="5">
        <v>0</v>
      </c>
      <c r="D32" s="5">
        <v>0</v>
      </c>
      <c r="E32" s="5">
        <v>0</v>
      </c>
      <c r="F32" s="5">
        <v>0</v>
      </c>
      <c r="G32" s="5">
        <v>0</v>
      </c>
      <c r="H32" s="5">
        <v>0</v>
      </c>
    </row>
    <row r="33" spans="1:8" x14ac:dyDescent="0.2">
      <c r="B33" s="124" t="s">
        <v>636</v>
      </c>
      <c r="C33" s="5">
        <v>0</v>
      </c>
      <c r="D33" s="5">
        <v>0</v>
      </c>
      <c r="E33" s="5">
        <v>0</v>
      </c>
      <c r="F33" s="5">
        <v>0</v>
      </c>
      <c r="G33" s="5">
        <v>0</v>
      </c>
      <c r="H33" s="5">
        <v>0</v>
      </c>
    </row>
    <row r="34" spans="1:8" x14ac:dyDescent="0.2">
      <c r="B34" s="124" t="s">
        <v>512</v>
      </c>
      <c r="C34" s="5">
        <v>0</v>
      </c>
      <c r="D34" s="5">
        <v>0</v>
      </c>
      <c r="E34" s="5">
        <v>0</v>
      </c>
      <c r="F34" s="5">
        <v>0</v>
      </c>
      <c r="G34" s="5">
        <v>0</v>
      </c>
      <c r="H34" s="5">
        <v>0</v>
      </c>
    </row>
    <row r="35" spans="1:8" x14ac:dyDescent="0.2">
      <c r="B35" s="124" t="s">
        <v>630</v>
      </c>
      <c r="C35" s="5">
        <f>Cheesecake!BB29</f>
        <v>51.531338550178837</v>
      </c>
      <c r="D35" s="5">
        <v>0</v>
      </c>
      <c r="E35" s="5">
        <f>Cheesecake!AY29</f>
        <v>168.30959961864107</v>
      </c>
      <c r="F35" s="5">
        <f>Cheesecake!AV29</f>
        <v>244.24055941756092</v>
      </c>
      <c r="G35" s="5">
        <v>0</v>
      </c>
      <c r="H35" s="5">
        <v>0</v>
      </c>
    </row>
    <row r="36" spans="1:8" ht="6" customHeight="1" x14ac:dyDescent="0.2">
      <c r="B36" s="124"/>
      <c r="C36" s="5"/>
      <c r="D36" s="5"/>
      <c r="E36" s="5"/>
      <c r="F36" s="5"/>
      <c r="G36" s="5"/>
      <c r="H36" s="5"/>
    </row>
    <row r="37" spans="1:8" ht="16" thickBot="1" x14ac:dyDescent="0.25">
      <c r="C37" s="143" t="s">
        <v>375</v>
      </c>
      <c r="D37" s="143" t="s">
        <v>370</v>
      </c>
      <c r="E37" s="143" t="s">
        <v>371</v>
      </c>
      <c r="F37" s="143" t="s">
        <v>372</v>
      </c>
      <c r="G37" s="143" t="s">
        <v>373</v>
      </c>
      <c r="H37" s="143" t="s">
        <v>413</v>
      </c>
    </row>
    <row r="38" spans="1:8" x14ac:dyDescent="0.2">
      <c r="A38" s="20" t="s">
        <v>434</v>
      </c>
      <c r="B38" s="124" t="s">
        <v>400</v>
      </c>
      <c r="C38" s="5">
        <v>0</v>
      </c>
      <c r="D38" s="13">
        <f>AVERAGE(D10,D11,D13,D14)</f>
        <v>70.518724958359087</v>
      </c>
      <c r="E38" s="13">
        <f>AVERAGE(E10:E12,E14:E15)</f>
        <v>166.65862070975527</v>
      </c>
      <c r="F38" s="13">
        <f>AVERAGE(F10:F12,F14:F17)</f>
        <v>222.65560037598985</v>
      </c>
      <c r="G38" s="13">
        <f>AVERAGE(G10:G12,G14:G17)</f>
        <v>352.71232104020379</v>
      </c>
      <c r="H38" s="13">
        <f>AVERAGE(H10:H12,H14:H17)</f>
        <v>25.914914175791107</v>
      </c>
    </row>
    <row r="39" spans="1:8" x14ac:dyDescent="0.2">
      <c r="B39" s="124" t="s">
        <v>414</v>
      </c>
      <c r="C39" s="13">
        <f>AVERAGE(C4:C7)</f>
        <v>19.176337998092297</v>
      </c>
      <c r="D39" s="13">
        <f>AVERAGE(D4:D9)</f>
        <v>0</v>
      </c>
      <c r="E39" s="13">
        <f>AVERAGE(E4:E9)</f>
        <v>0</v>
      </c>
      <c r="F39" s="13">
        <f>AVERAGE(F4:F6)</f>
        <v>141.39691474672452</v>
      </c>
      <c r="G39" s="13">
        <f t="shared" ref="G39:H39" si="0">AVERAGE(G4:G6)</f>
        <v>236.54777488200969</v>
      </c>
      <c r="H39" s="13">
        <f t="shared" si="0"/>
        <v>32.269111860251215</v>
      </c>
    </row>
    <row r="40" spans="1:8" x14ac:dyDescent="0.2">
      <c r="B40" s="124" t="s">
        <v>432</v>
      </c>
      <c r="C40" s="13">
        <f>AVERAGE(C28:C31,C35)</f>
        <v>52.71882935480172</v>
      </c>
      <c r="D40" s="13">
        <f t="shared" ref="D40:H40" si="1">AVERAGE(D28:D31,D35)</f>
        <v>0</v>
      </c>
      <c r="E40" s="13">
        <f t="shared" si="1"/>
        <v>186.91962364500827</v>
      </c>
      <c r="F40" s="13">
        <f t="shared" si="1"/>
        <v>270.9327882801955</v>
      </c>
      <c r="G40" s="13">
        <f t="shared" si="1"/>
        <v>0</v>
      </c>
      <c r="H40" s="13">
        <f t="shared" si="1"/>
        <v>0</v>
      </c>
    </row>
    <row r="41" spans="1:8" x14ac:dyDescent="0.2">
      <c r="B41" s="124" t="s">
        <v>426</v>
      </c>
      <c r="C41" s="5">
        <f>IFERROR(AVERAGE(C20:C22),0)</f>
        <v>0</v>
      </c>
      <c r="D41" s="5">
        <f>IFERROR(AVERAGE(D20:D21),0)</f>
        <v>23.125880625879148</v>
      </c>
      <c r="E41" s="5">
        <f t="shared" ref="E41:H41" si="2">IFERROR(AVERAGE(E20:E22),0)</f>
        <v>0</v>
      </c>
      <c r="F41" s="5">
        <f t="shared" si="2"/>
        <v>0</v>
      </c>
      <c r="G41" s="5">
        <f>IFERROR(AVERAGE(G20:G21),0)</f>
        <v>38.51318089559345</v>
      </c>
      <c r="H41" s="5">
        <f t="shared" si="2"/>
        <v>0</v>
      </c>
    </row>
    <row r="42" spans="1:8" x14ac:dyDescent="0.2">
      <c r="B42" s="124" t="s">
        <v>374</v>
      </c>
      <c r="C42" s="13">
        <f>AVERAGE(C23:C27)</f>
        <v>14.795071059059378</v>
      </c>
      <c r="D42" s="13" t="e">
        <f t="shared" ref="D42:G42" si="3">AVERAGE(D23:D27)</f>
        <v>#REF!</v>
      </c>
      <c r="E42" s="13" t="e">
        <f t="shared" si="3"/>
        <v>#REF!</v>
      </c>
      <c r="F42" s="13" t="e">
        <f t="shared" si="3"/>
        <v>#REF!</v>
      </c>
      <c r="G42" s="13" t="e">
        <f t="shared" si="3"/>
        <v>#REF!</v>
      </c>
      <c r="H42" s="13" t="e">
        <f>AVERAGE(H23:H27)</f>
        <v>#REF!</v>
      </c>
    </row>
  </sheetData>
  <mergeCells count="1">
    <mergeCell ref="C2:H2"/>
  </mergeCells>
  <pageMargins left="0.7" right="0.7" top="0.75" bottom="0.75" header="0.3" footer="0.3"/>
  <pageSetup scale="93" orientation="portrait" horizontalDpi="0" verticalDpi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155A5C-1C89-4041-9600-82E9BC0FE757}">
  <sheetPr codeName="Hoja21"/>
  <dimension ref="A2:G20"/>
  <sheetViews>
    <sheetView workbookViewId="0">
      <selection activeCell="H20" sqref="A2:H20"/>
    </sheetView>
  </sheetViews>
  <sheetFormatPr baseColWidth="10" defaultColWidth="11.5" defaultRowHeight="15" x14ac:dyDescent="0.2"/>
  <cols>
    <col min="1" max="1" width="21.1640625" bestFit="1" customWidth="1"/>
    <col min="2" max="2" width="8" bestFit="1" customWidth="1"/>
  </cols>
  <sheetData>
    <row r="2" spans="1:7" x14ac:dyDescent="0.2">
      <c r="A2" s="310" t="s">
        <v>435</v>
      </c>
      <c r="B2" s="310"/>
      <c r="C2" s="310"/>
      <c r="D2" s="310"/>
    </row>
    <row r="3" spans="1:7" ht="16" thickBot="1" x14ac:dyDescent="0.25">
      <c r="A3" s="158" t="s">
        <v>341</v>
      </c>
      <c r="B3" s="158" t="s">
        <v>4</v>
      </c>
      <c r="C3" s="158" t="s">
        <v>5</v>
      </c>
      <c r="D3" s="158" t="s">
        <v>7</v>
      </c>
    </row>
    <row r="4" spans="1:7" x14ac:dyDescent="0.2">
      <c r="A4" s="105" t="s">
        <v>313</v>
      </c>
      <c r="B4">
        <v>1.3</v>
      </c>
      <c r="C4" s="3" t="s">
        <v>15</v>
      </c>
      <c r="D4" s="13">
        <f>VLOOKUP(A4,'Costo Materia Prima'!$D$3:$I$236,6,FALSE)*B4</f>
        <v>227.49895999999998</v>
      </c>
      <c r="F4" s="329" t="s">
        <v>436</v>
      </c>
      <c r="G4" s="329"/>
    </row>
    <row r="5" spans="1:7" x14ac:dyDescent="0.2">
      <c r="A5" s="105" t="s">
        <v>230</v>
      </c>
      <c r="B5">
        <v>1.351</v>
      </c>
      <c r="C5" s="3" t="s">
        <v>15</v>
      </c>
      <c r="D5" s="13">
        <f>VLOOKUP(A5,'Costo Materia Prima'!$D$3:$I$236,6,FALSE)*B5</f>
        <v>24.993500000000001</v>
      </c>
    </row>
    <row r="6" spans="1:7" x14ac:dyDescent="0.2">
      <c r="A6" s="105" t="s">
        <v>222</v>
      </c>
      <c r="B6">
        <v>0.93799999999999994</v>
      </c>
      <c r="C6" s="3" t="s">
        <v>15</v>
      </c>
      <c r="D6" s="13">
        <f>VLOOKUP(A6,'Costo Materia Prima'!$D$3:$I$236,6,FALSE)*B6</f>
        <v>20.110720000000001</v>
      </c>
    </row>
    <row r="7" spans="1:7" x14ac:dyDescent="0.2">
      <c r="A7" s="105" t="s">
        <v>65</v>
      </c>
      <c r="B7">
        <v>8.9999999999999993E-3</v>
      </c>
      <c r="C7" s="3" t="s">
        <v>15</v>
      </c>
      <c r="D7" s="13">
        <f>VLOOKUP(A7,'Costo Materia Prima'!$D$3:$I$236,6,FALSE)*B7</f>
        <v>0.34559999999999996</v>
      </c>
    </row>
    <row r="8" spans="1:7" x14ac:dyDescent="0.2">
      <c r="A8" s="105" t="s">
        <v>61</v>
      </c>
      <c r="B8">
        <v>3.1E-2</v>
      </c>
      <c r="C8" s="3" t="s">
        <v>15</v>
      </c>
      <c r="D8" s="13">
        <f>VLOOKUP(A8,'Costo Materia Prima'!$D$3:$I$236,6,FALSE)*B8</f>
        <v>1.0985624999999999</v>
      </c>
    </row>
    <row r="9" spans="1:7" x14ac:dyDescent="0.2">
      <c r="A9" s="105" t="s">
        <v>13</v>
      </c>
      <c r="B9">
        <v>0.53500000000000003</v>
      </c>
      <c r="C9" s="3" t="s">
        <v>15</v>
      </c>
      <c r="D9" s="13">
        <f>VLOOKUP(A9,'Costo Materia Prima'!$D$3:$I$236,6,FALSE)*B9</f>
        <v>10.914</v>
      </c>
    </row>
    <row r="10" spans="1:7" x14ac:dyDescent="0.2">
      <c r="A10" s="105" t="s">
        <v>132</v>
      </c>
      <c r="B10">
        <v>9</v>
      </c>
      <c r="C10" s="3" t="s">
        <v>21</v>
      </c>
      <c r="D10" s="13">
        <f>VLOOKUP(A10,'Costo Materia Prima'!$D$3:$I$236,6,FALSE)*B10</f>
        <v>16.250999999999998</v>
      </c>
    </row>
    <row r="11" spans="1:7" x14ac:dyDescent="0.2">
      <c r="A11" s="105" t="s">
        <v>183</v>
      </c>
      <c r="B11">
        <v>4.2000000000000003E-2</v>
      </c>
      <c r="C11" s="3" t="s">
        <v>18</v>
      </c>
      <c r="D11" s="13">
        <f>VLOOKUP(A11,'Costo Materia Prima'!$D$3:$I$236,6,FALSE)*B11</f>
        <v>2.9241121875</v>
      </c>
    </row>
    <row r="12" spans="1:7" x14ac:dyDescent="0.2">
      <c r="A12" s="105" t="s">
        <v>26</v>
      </c>
      <c r="B12">
        <v>0.04</v>
      </c>
      <c r="C12" s="3" t="s">
        <v>18</v>
      </c>
      <c r="D12" s="13">
        <f>VLOOKUP(A12,'Costo Materia Prima'!$D$3:$I$236,6,FALSE)*B12</f>
        <v>0.78200000000000003</v>
      </c>
    </row>
    <row r="13" spans="1:7" x14ac:dyDescent="0.2">
      <c r="A13" s="170" t="s">
        <v>95</v>
      </c>
      <c r="B13" s="171">
        <f>0.01*$C$20</f>
        <v>0.6</v>
      </c>
      <c r="C13" s="172" t="s">
        <v>15</v>
      </c>
      <c r="D13" s="173">
        <f>VLOOKUP(A13,'Costo Materia Prima'!$D$3:$I$236,6,FALSE)*B13</f>
        <v>20.202283636363635</v>
      </c>
      <c r="E13" s="330" t="s">
        <v>437</v>
      </c>
      <c r="F13" s="330"/>
      <c r="G13" s="331"/>
    </row>
    <row r="14" spans="1:7" x14ac:dyDescent="0.2">
      <c r="A14" s="174" t="s">
        <v>188</v>
      </c>
      <c r="B14" s="175">
        <f>0.02*$C$20</f>
        <v>1.2</v>
      </c>
      <c r="C14" s="176" t="s">
        <v>15</v>
      </c>
      <c r="D14" s="177">
        <f>VLOOKUP(A14,'Costo Materia Prima'!$D$3:$I$236,6,FALSE)*B14</f>
        <v>136.79999999999998</v>
      </c>
      <c r="E14" s="332"/>
      <c r="F14" s="332"/>
      <c r="G14" s="333"/>
    </row>
    <row r="15" spans="1:7" x14ac:dyDescent="0.2">
      <c r="A15" s="178" t="s">
        <v>75</v>
      </c>
      <c r="B15" s="179">
        <f>0.01*$C$20</f>
        <v>0.6</v>
      </c>
      <c r="C15" s="180" t="s">
        <v>15</v>
      </c>
      <c r="D15" s="181">
        <f>VLOOKUP(A15,'Costo Materia Prima'!$D$3:$I$236,6,FALSE)*B15</f>
        <v>59.4</v>
      </c>
      <c r="E15" s="334"/>
      <c r="F15" s="334"/>
      <c r="G15" s="335"/>
    </row>
    <row r="16" spans="1:7" x14ac:dyDescent="0.2">
      <c r="A16" s="105"/>
      <c r="C16" s="3"/>
      <c r="D16" s="13"/>
    </row>
    <row r="17" spans="1:5" x14ac:dyDescent="0.2">
      <c r="A17" s="105"/>
      <c r="D17" s="13"/>
    </row>
    <row r="18" spans="1:5" x14ac:dyDescent="0.2">
      <c r="A18" s="105" t="s">
        <v>438</v>
      </c>
      <c r="D18" s="13">
        <f>SUM(D4:D15)</f>
        <v>521.32073832386357</v>
      </c>
    </row>
    <row r="19" spans="1:5" x14ac:dyDescent="0.2">
      <c r="A19" s="105"/>
      <c r="D19" s="13"/>
    </row>
    <row r="20" spans="1:5" x14ac:dyDescent="0.2">
      <c r="A20" s="105" t="s">
        <v>439</v>
      </c>
      <c r="C20" s="182">
        <v>60</v>
      </c>
      <c r="D20" s="13">
        <f>D18/C20</f>
        <v>8.6886789720643929</v>
      </c>
      <c r="E20" t="s">
        <v>440</v>
      </c>
    </row>
  </sheetData>
  <mergeCells count="3">
    <mergeCell ref="A2:D2"/>
    <mergeCell ref="F4:G4"/>
    <mergeCell ref="E13:G15"/>
  </mergeCells>
  <pageMargins left="0.7" right="0.7" top="0.75" bottom="0.75" header="0.3" footer="0.3"/>
  <pageSetup orientation="portrait" horizontalDpi="0" verticalDpi="0"/>
  <ignoredErrors>
    <ignoredError sqref="B14" formula="1"/>
  </ignoredError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678844A5-2382-1F46-B51A-707726984B45}">
          <x14:formula1>
            <xm:f>'Costo Materia Prima'!$D$3:$D$187</xm:f>
          </x14:formula1>
          <xm:sqref>A4:A16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0DDF03-6A99-469E-B3DF-A2A3B23B9DD8}">
  <sheetPr codeName="Hoja25"/>
  <dimension ref="A2:R240"/>
  <sheetViews>
    <sheetView topLeftCell="A201" zoomScale="157" zoomScaleNormal="90" workbookViewId="0">
      <selection activeCell="D240" sqref="D240"/>
    </sheetView>
  </sheetViews>
  <sheetFormatPr baseColWidth="10" defaultColWidth="11.5" defaultRowHeight="15" x14ac:dyDescent="0.2"/>
  <cols>
    <col min="1" max="1" width="24.33203125" bestFit="1" customWidth="1"/>
    <col min="5" max="5" width="16.83203125" customWidth="1"/>
    <col min="8" max="8" width="8.5" bestFit="1" customWidth="1"/>
    <col min="14" max="14" width="16.33203125" bestFit="1" customWidth="1"/>
    <col min="15" max="15" width="5" bestFit="1" customWidth="1"/>
  </cols>
  <sheetData>
    <row r="2" spans="1:18" ht="16" thickBot="1" x14ac:dyDescent="0.25">
      <c r="A2" s="158" t="s">
        <v>341</v>
      </c>
      <c r="B2" s="158" t="s">
        <v>4</v>
      </c>
      <c r="C2" s="158" t="s">
        <v>5</v>
      </c>
      <c r="D2" s="158" t="s">
        <v>7</v>
      </c>
      <c r="E2" s="159" t="s">
        <v>4</v>
      </c>
    </row>
    <row r="3" spans="1:18" x14ac:dyDescent="0.2">
      <c r="A3" s="160" t="s">
        <v>230</v>
      </c>
      <c r="B3" s="3">
        <v>0.3</v>
      </c>
      <c r="C3" s="3" t="s">
        <v>15</v>
      </c>
      <c r="D3" s="13">
        <f>VLOOKUP(A3,'Costo Materia Prima'!$D$3:$I$236,6,FALSE)*B3</f>
        <v>5.55</v>
      </c>
      <c r="E3">
        <f>(B3/$I$7)*1000</f>
        <v>30</v>
      </c>
      <c r="H3" s="160"/>
    </row>
    <row r="4" spans="1:18" x14ac:dyDescent="0.2">
      <c r="A4" t="s">
        <v>132</v>
      </c>
      <c r="B4" s="3">
        <v>2</v>
      </c>
      <c r="C4" s="3" t="s">
        <v>398</v>
      </c>
      <c r="D4" s="13">
        <f>VLOOKUP(A4,'Costo Materia Prima'!$D$3:$I$236,6,FALSE)*B4</f>
        <v>3.6113333333333331</v>
      </c>
      <c r="E4">
        <f>(B4/$I$7)</f>
        <v>0.2</v>
      </c>
      <c r="H4" s="160" t="s">
        <v>431</v>
      </c>
      <c r="I4">
        <v>1</v>
      </c>
      <c r="J4" t="s">
        <v>15</v>
      </c>
      <c r="K4">
        <v>289</v>
      </c>
      <c r="N4" t="s">
        <v>90</v>
      </c>
      <c r="O4">
        <v>0.38</v>
      </c>
      <c r="P4" t="s">
        <v>15</v>
      </c>
      <c r="Q4">
        <v>185</v>
      </c>
      <c r="R4">
        <f>Q4/O4</f>
        <v>486.84210526315786</v>
      </c>
    </row>
    <row r="5" spans="1:18" x14ac:dyDescent="0.2">
      <c r="A5" t="s">
        <v>313</v>
      </c>
      <c r="B5" s="3">
        <v>0.15</v>
      </c>
      <c r="C5" s="3" t="s">
        <v>15</v>
      </c>
      <c r="D5" s="13">
        <f>VLOOKUP(A5,'Costo Materia Prima'!$D$3:$I$236,6,FALSE)*B5</f>
        <v>26.249879999999994</v>
      </c>
      <c r="E5">
        <f t="shared" ref="E5:E14" si="0">(B5/$I$7)*1000</f>
        <v>15</v>
      </c>
      <c r="H5" s="160" t="s">
        <v>520</v>
      </c>
      <c r="I5">
        <v>32</v>
      </c>
      <c r="J5" t="s">
        <v>521</v>
      </c>
    </row>
    <row r="6" spans="1:18" x14ac:dyDescent="0.2">
      <c r="A6" t="s">
        <v>222</v>
      </c>
      <c r="B6" s="3">
        <f>15/1000</f>
        <v>1.4999999999999999E-2</v>
      </c>
      <c r="C6" s="3" t="s">
        <v>15</v>
      </c>
      <c r="D6" s="13">
        <f>VLOOKUP(A6,'Costo Materia Prima'!$D$3:$I$236,6,FALSE)*B6</f>
        <v>0.3216</v>
      </c>
      <c r="E6">
        <f t="shared" si="0"/>
        <v>1.5</v>
      </c>
      <c r="H6" s="160" t="s">
        <v>522</v>
      </c>
      <c r="I6">
        <v>0.25</v>
      </c>
      <c r="J6" t="s">
        <v>15</v>
      </c>
      <c r="K6">
        <f>I6/I5</f>
        <v>7.8125E-3</v>
      </c>
      <c r="L6">
        <f>K6*1000</f>
        <v>7.8125</v>
      </c>
      <c r="N6" t="s">
        <v>523</v>
      </c>
      <c r="O6">
        <v>0.5</v>
      </c>
      <c r="P6" t="s">
        <v>15</v>
      </c>
      <c r="Q6">
        <v>55</v>
      </c>
      <c r="R6">
        <f>Q6/O6</f>
        <v>110</v>
      </c>
    </row>
    <row r="7" spans="1:18" x14ac:dyDescent="0.2">
      <c r="A7" t="s">
        <v>65</v>
      </c>
      <c r="B7">
        <f>2.5/1000</f>
        <v>2.5000000000000001E-3</v>
      </c>
      <c r="C7" s="3" t="s">
        <v>15</v>
      </c>
      <c r="D7" s="13">
        <f>VLOOKUP(A7,'Costo Materia Prima'!$D$3:$I$236,6,FALSE)*B7</f>
        <v>9.6000000000000002E-2</v>
      </c>
      <c r="E7">
        <f t="shared" si="0"/>
        <v>0.25</v>
      </c>
      <c r="H7" s="160" t="s">
        <v>524</v>
      </c>
      <c r="I7">
        <v>10</v>
      </c>
    </row>
    <row r="8" spans="1:18" x14ac:dyDescent="0.2">
      <c r="A8" t="s">
        <v>303</v>
      </c>
      <c r="B8">
        <f>2.5/1000</f>
        <v>2.5000000000000001E-3</v>
      </c>
      <c r="D8" s="13">
        <f>VLOOKUP(A8,'Costo Materia Prima'!$D$3:$I$236,6,FALSE)*B8</f>
        <v>3.6770833333333336E-2</v>
      </c>
      <c r="E8">
        <f t="shared" si="0"/>
        <v>0.25</v>
      </c>
      <c r="H8" s="160"/>
    </row>
    <row r="9" spans="1:18" x14ac:dyDescent="0.2">
      <c r="A9" t="s">
        <v>61</v>
      </c>
      <c r="B9">
        <f>5/1000</f>
        <v>5.0000000000000001E-3</v>
      </c>
      <c r="D9" s="13">
        <f>VLOOKUP(A9,'Costo Materia Prima'!$D$3:$I$236,6,FALSE)*B9</f>
        <v>0.1771875</v>
      </c>
      <c r="E9">
        <f t="shared" si="0"/>
        <v>0.5</v>
      </c>
      <c r="H9" s="160"/>
    </row>
    <row r="10" spans="1:18" x14ac:dyDescent="0.2">
      <c r="A10" t="s">
        <v>323</v>
      </c>
      <c r="B10">
        <v>0</v>
      </c>
      <c r="D10" s="13">
        <f>VLOOKUP(A10,'Costo Materia Prima'!$D$3:$I$236,6,FALSE)*B10</f>
        <v>0</v>
      </c>
      <c r="E10">
        <f t="shared" si="0"/>
        <v>0</v>
      </c>
    </row>
    <row r="11" spans="1:18" x14ac:dyDescent="0.2">
      <c r="A11" t="s">
        <v>124</v>
      </c>
      <c r="B11">
        <v>0.15</v>
      </c>
      <c r="D11" s="13">
        <f>VLOOKUP(A11,'Costo Materia Prima'!$D$3:$I$236,6,FALSE)*B11</f>
        <v>7.77</v>
      </c>
      <c r="E11">
        <f t="shared" si="0"/>
        <v>15</v>
      </c>
      <c r="H11" s="160"/>
    </row>
    <row r="12" spans="1:18" x14ac:dyDescent="0.2">
      <c r="A12" t="s">
        <v>431</v>
      </c>
      <c r="B12" s="12">
        <f>(20)*(I6/I5)</f>
        <v>0.15625</v>
      </c>
      <c r="D12" s="13">
        <f>B12*K4</f>
        <v>45.15625</v>
      </c>
      <c r="E12">
        <f t="shared" si="0"/>
        <v>15.625</v>
      </c>
      <c r="H12" s="160"/>
    </row>
    <row r="13" spans="1:18" x14ac:dyDescent="0.2">
      <c r="A13" t="s">
        <v>90</v>
      </c>
      <c r="B13">
        <v>0.13</v>
      </c>
      <c r="D13" s="13">
        <f>B13*R4</f>
        <v>63.289473684210527</v>
      </c>
      <c r="E13">
        <f t="shared" si="0"/>
        <v>13.000000000000002</v>
      </c>
      <c r="H13" s="160"/>
    </row>
    <row r="14" spans="1:18" x14ac:dyDescent="0.2">
      <c r="A14" t="s">
        <v>523</v>
      </c>
      <c r="B14">
        <v>0.2</v>
      </c>
      <c r="D14" s="5">
        <f>B14*R6</f>
        <v>22</v>
      </c>
      <c r="E14">
        <f t="shared" si="0"/>
        <v>20</v>
      </c>
      <c r="H14" s="160"/>
    </row>
    <row r="15" spans="1:18" x14ac:dyDescent="0.2">
      <c r="D15" s="13">
        <f>SUM(D3:D14)</f>
        <v>174.25849535087718</v>
      </c>
      <c r="I15" t="s">
        <v>2</v>
      </c>
      <c r="J15" t="s">
        <v>525</v>
      </c>
      <c r="K15" t="s">
        <v>526</v>
      </c>
    </row>
    <row r="16" spans="1:18" x14ac:dyDescent="0.2">
      <c r="D16" s="13"/>
      <c r="F16">
        <v>90</v>
      </c>
      <c r="G16" t="s">
        <v>527</v>
      </c>
      <c r="I16" t="s">
        <v>524</v>
      </c>
      <c r="J16" s="5" t="e">
        <f>(D97+D122+D156+#REF!)/4</f>
        <v>#REF!</v>
      </c>
      <c r="K16" s="5">
        <v>35</v>
      </c>
    </row>
    <row r="17" spans="1:11" x14ac:dyDescent="0.2">
      <c r="D17" s="13"/>
      <c r="F17">
        <v>10</v>
      </c>
      <c r="G17" t="s">
        <v>528</v>
      </c>
      <c r="I17" t="s">
        <v>88</v>
      </c>
      <c r="J17" s="5">
        <f>D18</f>
        <v>17.425849535087718</v>
      </c>
      <c r="K17" s="5">
        <v>40</v>
      </c>
    </row>
    <row r="18" spans="1:11" x14ac:dyDescent="0.2">
      <c r="A18" t="s">
        <v>502</v>
      </c>
      <c r="D18" s="13">
        <f>D15/I7</f>
        <v>17.425849535087718</v>
      </c>
      <c r="I18" t="s">
        <v>374</v>
      </c>
      <c r="J18" s="5">
        <f>AVERAGE(Bollos!C12:F12)</f>
        <v>8.8894834911374936</v>
      </c>
      <c r="K18" s="5">
        <v>29</v>
      </c>
    </row>
    <row r="19" spans="1:11" x14ac:dyDescent="0.2">
      <c r="D19" s="13"/>
      <c r="I19" t="s">
        <v>530</v>
      </c>
      <c r="J19" s="5">
        <f>Bollos!G12</f>
        <v>15.59005133074691</v>
      </c>
      <c r="K19" s="5">
        <v>35</v>
      </c>
    </row>
    <row r="21" spans="1:11" x14ac:dyDescent="0.2">
      <c r="A21" s="310" t="s">
        <v>532</v>
      </c>
      <c r="B21" s="310"/>
      <c r="C21" s="310"/>
      <c r="D21" s="310"/>
    </row>
    <row r="22" spans="1:11" ht="16" thickBot="1" x14ac:dyDescent="0.25">
      <c r="A22" s="158" t="s">
        <v>341</v>
      </c>
      <c r="B22" s="158" t="s">
        <v>4</v>
      </c>
      <c r="C22" s="158" t="s">
        <v>5</v>
      </c>
      <c r="D22" s="158" t="s">
        <v>7</v>
      </c>
    </row>
    <row r="23" spans="1:11" x14ac:dyDescent="0.2">
      <c r="A23" s="160" t="s">
        <v>230</v>
      </c>
      <c r="B23" s="3">
        <v>1</v>
      </c>
      <c r="C23" s="3" t="s">
        <v>15</v>
      </c>
      <c r="D23" s="13">
        <f>VLOOKUP(A23,'Costo Materia Prima'!$D$3:$I$236,6,FALSE)*B23</f>
        <v>18.5</v>
      </c>
    </row>
    <row r="24" spans="1:11" x14ac:dyDescent="0.2">
      <c r="A24" t="s">
        <v>13</v>
      </c>
      <c r="B24" s="3">
        <v>0.26700000000000002</v>
      </c>
      <c r="C24" s="3" t="s">
        <v>398</v>
      </c>
      <c r="D24" s="13">
        <f>VLOOKUP(A24,'Costo Materia Prima'!$D$3:$I$236,6,FALSE)*B24</f>
        <v>5.4467999999999996</v>
      </c>
    </row>
    <row r="25" spans="1:11" x14ac:dyDescent="0.2">
      <c r="A25" t="s">
        <v>313</v>
      </c>
      <c r="B25" s="3">
        <v>0.7</v>
      </c>
      <c r="C25" s="3" t="s">
        <v>15</v>
      </c>
      <c r="D25" s="13">
        <f>VLOOKUP(A25,'Costo Materia Prima'!$D$3:$I$236,6,FALSE)*B25</f>
        <v>122.49943999999998</v>
      </c>
    </row>
    <row r="26" spans="1:11" x14ac:dyDescent="0.2">
      <c r="A26" t="s">
        <v>183</v>
      </c>
      <c r="B26" s="3">
        <v>0.02</v>
      </c>
      <c r="C26" s="3" t="s">
        <v>18</v>
      </c>
      <c r="D26" s="13">
        <f>VLOOKUP(A26,'Costo Materia Prima'!$D$3:$I$236,6,FALSE)*B26</f>
        <v>1.3924343750000001</v>
      </c>
    </row>
    <row r="27" spans="1:11" x14ac:dyDescent="0.2">
      <c r="A27" t="s">
        <v>81</v>
      </c>
      <c r="B27" s="27">
        <v>0.2</v>
      </c>
      <c r="C27" s="3" t="s">
        <v>15</v>
      </c>
      <c r="D27" s="13">
        <f>VLOOKUP(A27,'Costo Materia Prima'!$D$3:$I$236,6,FALSE)*B27</f>
        <v>39.800000000000004</v>
      </c>
    </row>
    <row r="28" spans="1:11" x14ac:dyDescent="0.2">
      <c r="A28" t="s">
        <v>95</v>
      </c>
      <c r="B28" s="3">
        <f>(((79-68)/1000)/10)*292</f>
        <v>0.32119999999999993</v>
      </c>
      <c r="C28" s="3" t="s">
        <v>15</v>
      </c>
      <c r="D28" s="13">
        <f>VLOOKUP(A28,'Costo Materia Prima'!$D$3:$I$236,6,FALSE)*B28</f>
        <v>10.814955839999996</v>
      </c>
    </row>
    <row r="29" spans="1:11" x14ac:dyDescent="0.2">
      <c r="D29" s="5">
        <f>SUM(D23:D28)</f>
        <v>198.45363021499998</v>
      </c>
    </row>
    <row r="31" spans="1:11" x14ac:dyDescent="0.2">
      <c r="A31" t="s">
        <v>463</v>
      </c>
      <c r="C31" s="26">
        <v>0.35</v>
      </c>
      <c r="D31" s="13">
        <f>(1+C31)*D29</f>
        <v>267.91240079024999</v>
      </c>
    </row>
    <row r="32" spans="1:11" x14ac:dyDescent="0.2">
      <c r="A32" t="s">
        <v>259</v>
      </c>
      <c r="C32">
        <v>1</v>
      </c>
      <c r="D32" s="13">
        <f>VLOOKUP(A32,'Costo Materia Prima'!$D$3:$I$236,6,FALSE)*C32</f>
        <v>5.5354799999999997</v>
      </c>
    </row>
    <row r="33" spans="1:5" x14ac:dyDescent="0.2">
      <c r="A33" t="s">
        <v>167</v>
      </c>
      <c r="C33">
        <v>1</v>
      </c>
      <c r="D33" s="13">
        <f>VLOOKUP(A33,'Costo Materia Prima'!$D$3:$I$236,6,FALSE)*C33</f>
        <v>0.42919999999999997</v>
      </c>
    </row>
    <row r="35" spans="1:5" x14ac:dyDescent="0.2">
      <c r="A35" t="s">
        <v>464</v>
      </c>
      <c r="D35">
        <v>2.15</v>
      </c>
    </row>
    <row r="36" spans="1:5" x14ac:dyDescent="0.2">
      <c r="A36" t="s">
        <v>343</v>
      </c>
      <c r="D36" s="126">
        <f>SUM(D31:D33)</f>
        <v>273.87708079024998</v>
      </c>
      <c r="E36" s="13"/>
    </row>
    <row r="38" spans="1:5" x14ac:dyDescent="0.2">
      <c r="A38" t="s">
        <v>465</v>
      </c>
      <c r="C38" s="26">
        <v>0.5</v>
      </c>
      <c r="D38" s="13">
        <f>D36/(1-C38)</f>
        <v>547.75416158049995</v>
      </c>
    </row>
    <row r="40" spans="1:5" x14ac:dyDescent="0.2">
      <c r="A40" t="s">
        <v>466</v>
      </c>
      <c r="D40">
        <v>292</v>
      </c>
    </row>
    <row r="41" spans="1:5" x14ac:dyDescent="0.2">
      <c r="D41" s="13">
        <f>D31/D40</f>
        <v>0.91750822188441772</v>
      </c>
    </row>
    <row r="42" spans="1:5" x14ac:dyDescent="0.2">
      <c r="B42">
        <v>10</v>
      </c>
      <c r="C42" t="s">
        <v>21</v>
      </c>
      <c r="D42" s="13">
        <f>D41*B42</f>
        <v>9.1750822188441781</v>
      </c>
    </row>
    <row r="43" spans="1:5" x14ac:dyDescent="0.2">
      <c r="D43">
        <v>2</v>
      </c>
    </row>
    <row r="44" spans="1:5" x14ac:dyDescent="0.2">
      <c r="D44">
        <v>1</v>
      </c>
    </row>
    <row r="45" spans="1:5" x14ac:dyDescent="0.2">
      <c r="D45" s="126">
        <f>SUM(D41:D44)</f>
        <v>13.092590440728596</v>
      </c>
    </row>
    <row r="46" spans="1:5" x14ac:dyDescent="0.2">
      <c r="A46" t="s">
        <v>465</v>
      </c>
      <c r="C46" s="26">
        <v>0.4</v>
      </c>
      <c r="D46" s="13">
        <f>D45/(1-C46)</f>
        <v>21.820984067880996</v>
      </c>
    </row>
    <row r="48" spans="1:5" ht="16" thickBot="1" x14ac:dyDescent="0.25">
      <c r="A48" s="337" t="s">
        <v>533</v>
      </c>
      <c r="B48" s="337"/>
      <c r="C48" s="337"/>
      <c r="D48" s="337"/>
    </row>
    <row r="49" spans="1:7" ht="17" thickTop="1" thickBot="1" x14ac:dyDescent="0.25">
      <c r="A49" s="158" t="s">
        <v>341</v>
      </c>
      <c r="B49" s="158" t="s">
        <v>4</v>
      </c>
      <c r="C49" s="158" t="s">
        <v>5</v>
      </c>
      <c r="D49" s="158" t="s">
        <v>7</v>
      </c>
    </row>
    <row r="50" spans="1:7" x14ac:dyDescent="0.2">
      <c r="A50" s="160" t="s">
        <v>230</v>
      </c>
      <c r="B50" s="3">
        <v>0.3</v>
      </c>
      <c r="C50" s="3" t="s">
        <v>15</v>
      </c>
      <c r="D50" s="13">
        <f>VLOOKUP(A50,'Costo Materia Prima'!$D$3:$I$236,6,FALSE)*B50</f>
        <v>5.55</v>
      </c>
      <c r="G50">
        <f t="shared" ref="G50:G60" si="1">B50/10</f>
        <v>0.03</v>
      </c>
    </row>
    <row r="51" spans="1:7" x14ac:dyDescent="0.2">
      <c r="A51" t="s">
        <v>132</v>
      </c>
      <c r="B51" s="3">
        <v>2</v>
      </c>
      <c r="C51" s="3" t="s">
        <v>398</v>
      </c>
      <c r="D51" s="13">
        <f>VLOOKUP(A51,'Costo Materia Prima'!$D$3:$I$236,6,FALSE)*B51</f>
        <v>3.6113333333333331</v>
      </c>
      <c r="E51" t="s">
        <v>534</v>
      </c>
      <c r="G51">
        <f t="shared" si="1"/>
        <v>0.2</v>
      </c>
    </row>
    <row r="52" spans="1:7" x14ac:dyDescent="0.2">
      <c r="A52" t="s">
        <v>313</v>
      </c>
      <c r="B52" s="3">
        <v>0.15</v>
      </c>
      <c r="C52" s="3" t="s">
        <v>15</v>
      </c>
      <c r="D52" s="13">
        <f>VLOOKUP(A52,'Costo Materia Prima'!$D$3:$I$236,6,FALSE)*B52</f>
        <v>26.249879999999994</v>
      </c>
      <c r="G52">
        <f t="shared" si="1"/>
        <v>1.4999999999999999E-2</v>
      </c>
    </row>
    <row r="53" spans="1:7" x14ac:dyDescent="0.2">
      <c r="A53" t="s">
        <v>218</v>
      </c>
      <c r="B53" s="3">
        <v>0.09</v>
      </c>
      <c r="C53" s="3" t="s">
        <v>15</v>
      </c>
      <c r="D53" s="13">
        <f>VLOOKUP(A53,'Costo Materia Prima'!$D$3:$I$236,6,FALSE)*B53</f>
        <v>9.9</v>
      </c>
      <c r="G53">
        <f t="shared" si="1"/>
        <v>8.9999999999999993E-3</v>
      </c>
    </row>
    <row r="54" spans="1:7" x14ac:dyDescent="0.2">
      <c r="A54" t="s">
        <v>65</v>
      </c>
      <c r="B54">
        <v>3.0000000000000001E-3</v>
      </c>
      <c r="C54" s="3" t="s">
        <v>15</v>
      </c>
      <c r="D54" s="13">
        <f>VLOOKUP(A54,'Costo Materia Prima'!$D$3:$I$236,6,FALSE)*B54</f>
        <v>0.1152</v>
      </c>
      <c r="G54">
        <f t="shared" si="1"/>
        <v>3.0000000000000003E-4</v>
      </c>
    </row>
    <row r="55" spans="1:7" x14ac:dyDescent="0.2">
      <c r="A55" t="s">
        <v>303</v>
      </c>
      <c r="B55">
        <v>1E-3</v>
      </c>
      <c r="C55" s="3" t="s">
        <v>15</v>
      </c>
      <c r="D55" s="13">
        <f>VLOOKUP(A55,'Costo Materia Prima'!$D$3:$I$236,6,FALSE)*B55</f>
        <v>1.4708333333333334E-2</v>
      </c>
      <c r="G55">
        <f t="shared" si="1"/>
        <v>1E-4</v>
      </c>
    </row>
    <row r="56" spans="1:7" x14ac:dyDescent="0.2">
      <c r="A56" t="s">
        <v>61</v>
      </c>
      <c r="B56">
        <v>5.0000000000000001E-3</v>
      </c>
      <c r="C56" s="3" t="s">
        <v>15</v>
      </c>
      <c r="D56" s="13">
        <f>VLOOKUP(A56,'Costo Materia Prima'!$D$3:$I$236,6,FALSE)*B56</f>
        <v>0.1771875</v>
      </c>
      <c r="G56">
        <f t="shared" si="1"/>
        <v>5.0000000000000001E-4</v>
      </c>
    </row>
    <row r="57" spans="1:7" x14ac:dyDescent="0.2">
      <c r="A57" t="s">
        <v>124</v>
      </c>
      <c r="B57">
        <v>0.15</v>
      </c>
      <c r="C57" s="3" t="s">
        <v>15</v>
      </c>
      <c r="D57" s="13">
        <f>VLOOKUP(A57,'Costo Materia Prima'!$D$3:$I$236,6,FALSE)*B57</f>
        <v>7.77</v>
      </c>
      <c r="G57">
        <f t="shared" si="1"/>
        <v>1.4999999999999999E-2</v>
      </c>
    </row>
    <row r="58" spans="1:7" x14ac:dyDescent="0.2">
      <c r="A58" t="s">
        <v>222</v>
      </c>
      <c r="B58">
        <v>1.4999999999999999E-2</v>
      </c>
      <c r="C58" s="3" t="s">
        <v>15</v>
      </c>
      <c r="D58" s="13">
        <f>VLOOKUP(A58,'Costo Materia Prima'!$D$3:$I$236,6,FALSE)*B58</f>
        <v>0.3216</v>
      </c>
      <c r="G58">
        <f t="shared" si="1"/>
        <v>1.5E-3</v>
      </c>
    </row>
    <row r="59" spans="1:7" x14ac:dyDescent="0.2">
      <c r="A59" t="s">
        <v>87</v>
      </c>
      <c r="B59">
        <v>0.14399999999999999</v>
      </c>
      <c r="C59" s="3" t="s">
        <v>15</v>
      </c>
      <c r="D59" s="13">
        <f>VLOOKUP(A59,'Costo Materia Prima'!$D$3:$I$236,6,FALSE)*B59</f>
        <v>46.775039999999997</v>
      </c>
      <c r="G59">
        <f t="shared" si="1"/>
        <v>1.44E-2</v>
      </c>
    </row>
    <row r="60" spans="1:7" x14ac:dyDescent="0.2">
      <c r="A60" s="179" t="s">
        <v>90</v>
      </c>
      <c r="B60" s="179">
        <f>0.022*C63</f>
        <v>0.21999999999999997</v>
      </c>
      <c r="C60" s="180" t="s">
        <v>15</v>
      </c>
      <c r="D60" s="181">
        <f>VLOOKUP(A60,'Costo Materia Prima'!$D$3:$I$236,6,FALSE)*B60</f>
        <v>69.457574999999991</v>
      </c>
      <c r="E60" s="175" t="s">
        <v>826</v>
      </c>
      <c r="G60">
        <f t="shared" si="1"/>
        <v>2.1999999999999999E-2</v>
      </c>
    </row>
    <row r="61" spans="1:7" ht="16" thickBot="1" x14ac:dyDescent="0.25">
      <c r="D61" s="109">
        <f>SUM(D50:D60)</f>
        <v>169.94252416666666</v>
      </c>
    </row>
    <row r="62" spans="1:7" ht="16" thickTop="1" x14ac:dyDescent="0.2">
      <c r="A62" t="s">
        <v>535</v>
      </c>
      <c r="B62">
        <v>0.98599999999999999</v>
      </c>
    </row>
    <row r="63" spans="1:7" x14ac:dyDescent="0.2">
      <c r="A63" t="s">
        <v>536</v>
      </c>
      <c r="C63">
        <v>10</v>
      </c>
      <c r="D63" s="13">
        <f>D61/C63</f>
        <v>16.994252416666665</v>
      </c>
    </row>
    <row r="65" spans="1:7" x14ac:dyDescent="0.2">
      <c r="A65" s="108" t="s">
        <v>537</v>
      </c>
      <c r="B65" s="25"/>
      <c r="C65" s="25"/>
      <c r="D65" s="25"/>
    </row>
    <row r="66" spans="1:7" x14ac:dyDescent="0.2">
      <c r="A66" t="s">
        <v>88</v>
      </c>
      <c r="B66" s="12">
        <f>(0.25/64)</f>
        <v>3.90625E-3</v>
      </c>
      <c r="C66">
        <v>0.5</v>
      </c>
      <c r="D66" s="13">
        <f>VLOOKUP(A66,'Costo Materia Prima'!$D$3:$I$236,6,FALSE)*B66</f>
        <v>1.0326093750000001</v>
      </c>
      <c r="G66">
        <f>B66/10</f>
        <v>3.9062500000000002E-4</v>
      </c>
    </row>
    <row r="67" spans="1:7" x14ac:dyDescent="0.2">
      <c r="D67" s="13"/>
    </row>
    <row r="68" spans="1:7" x14ac:dyDescent="0.2">
      <c r="A68" t="s">
        <v>538</v>
      </c>
      <c r="D68" s="126">
        <f>D63+D67+D66</f>
        <v>18.026861791666665</v>
      </c>
    </row>
    <row r="71" spans="1:7" x14ac:dyDescent="0.2">
      <c r="A71" s="310" t="s">
        <v>539</v>
      </c>
      <c r="B71" s="310"/>
      <c r="C71" s="310"/>
      <c r="D71" s="310"/>
    </row>
    <row r="72" spans="1:7" ht="16" thickBot="1" x14ac:dyDescent="0.25">
      <c r="A72" s="158" t="s">
        <v>341</v>
      </c>
      <c r="B72" s="158" t="s">
        <v>4</v>
      </c>
      <c r="C72" s="158" t="s">
        <v>5</v>
      </c>
      <c r="D72" s="158" t="s">
        <v>7</v>
      </c>
    </row>
    <row r="73" spans="1:7" x14ac:dyDescent="0.2">
      <c r="A73" s="160" t="s">
        <v>230</v>
      </c>
      <c r="B73" s="3">
        <v>0.3</v>
      </c>
      <c r="C73" s="3" t="s">
        <v>15</v>
      </c>
      <c r="D73" s="13">
        <f>VLOOKUP(A73,'Costo Materia Prima'!$D$3:$I$236,6,FALSE)*B73</f>
        <v>5.55</v>
      </c>
      <c r="E73">
        <f t="shared" ref="E73:E81" si="2">B73/8</f>
        <v>3.7499999999999999E-2</v>
      </c>
    </row>
    <row r="74" spans="1:7" x14ac:dyDescent="0.2">
      <c r="A74" t="s">
        <v>132</v>
      </c>
      <c r="B74" s="3">
        <v>2</v>
      </c>
      <c r="C74" s="3" t="s">
        <v>398</v>
      </c>
      <c r="D74" s="13">
        <f>VLOOKUP(A74,'Costo Materia Prima'!$D$3:$I$236,6,FALSE)*B74</f>
        <v>3.6113333333333331</v>
      </c>
      <c r="E74">
        <f t="shared" si="2"/>
        <v>0.25</v>
      </c>
    </row>
    <row r="75" spans="1:7" x14ac:dyDescent="0.2">
      <c r="A75" t="s">
        <v>313</v>
      </c>
      <c r="B75" s="3">
        <v>0.15</v>
      </c>
      <c r="C75" s="3" t="s">
        <v>15</v>
      </c>
      <c r="D75" s="13">
        <f>VLOOKUP(A75,'Costo Materia Prima'!$D$3:$I$236,6,FALSE)*B75</f>
        <v>26.249879999999994</v>
      </c>
      <c r="E75">
        <f t="shared" si="2"/>
        <v>1.8749999999999999E-2</v>
      </c>
    </row>
    <row r="76" spans="1:7" x14ac:dyDescent="0.2">
      <c r="A76" t="s">
        <v>222</v>
      </c>
      <c r="B76" s="3">
        <f>15/1000</f>
        <v>1.4999999999999999E-2</v>
      </c>
      <c r="C76" s="3" t="s">
        <v>15</v>
      </c>
      <c r="D76" s="13">
        <f>VLOOKUP(A76,'Costo Materia Prima'!$D$3:$I$236,6,FALSE)*B76</f>
        <v>0.3216</v>
      </c>
      <c r="E76">
        <f t="shared" si="2"/>
        <v>1.8749999999999999E-3</v>
      </c>
    </row>
    <row r="77" spans="1:7" x14ac:dyDescent="0.2">
      <c r="A77" t="s">
        <v>65</v>
      </c>
      <c r="B77">
        <f>2.5/1000</f>
        <v>2.5000000000000001E-3</v>
      </c>
      <c r="C77" s="3" t="s">
        <v>15</v>
      </c>
      <c r="D77" s="13">
        <f>VLOOKUP(A77,'Costo Materia Prima'!$D$3:$I$236,6,FALSE)*B77</f>
        <v>9.6000000000000002E-2</v>
      </c>
      <c r="E77">
        <f t="shared" si="2"/>
        <v>3.1250000000000001E-4</v>
      </c>
      <c r="F77">
        <v>24</v>
      </c>
      <c r="G77" s="13">
        <f>D90*F77</f>
        <v>377.54667499999994</v>
      </c>
    </row>
    <row r="78" spans="1:7" x14ac:dyDescent="0.2">
      <c r="A78" t="s">
        <v>303</v>
      </c>
      <c r="B78">
        <f>2.5/1000</f>
        <v>2.5000000000000001E-3</v>
      </c>
      <c r="D78" s="13">
        <f>VLOOKUP(A78,'Costo Materia Prima'!$D$3:$I$236,6,FALSE)*B78</f>
        <v>3.6770833333333336E-2</v>
      </c>
      <c r="E78">
        <f t="shared" si="2"/>
        <v>3.1250000000000001E-4</v>
      </c>
      <c r="F78">
        <v>30</v>
      </c>
      <c r="G78" s="13">
        <f>F78*F77</f>
        <v>720</v>
      </c>
    </row>
    <row r="79" spans="1:7" x14ac:dyDescent="0.2">
      <c r="A79" t="s">
        <v>61</v>
      </c>
      <c r="B79">
        <f>5/1000</f>
        <v>5.0000000000000001E-3</v>
      </c>
      <c r="D79" s="13">
        <f>VLOOKUP(A79,'Costo Materia Prima'!$D$3:$I$236,6,FALSE)*B79</f>
        <v>0.1771875</v>
      </c>
      <c r="E79">
        <f t="shared" si="2"/>
        <v>6.2500000000000001E-4</v>
      </c>
    </row>
    <row r="80" spans="1:7" x14ac:dyDescent="0.2">
      <c r="A80" t="s">
        <v>323</v>
      </c>
      <c r="B80">
        <v>0.15</v>
      </c>
      <c r="D80" s="13">
        <f>VLOOKUP(A80,'Costo Materia Prima'!$D$3:$I$236,6,FALSE)*B80</f>
        <v>37.886200000000002</v>
      </c>
      <c r="E80">
        <f t="shared" si="2"/>
        <v>1.8749999999999999E-2</v>
      </c>
    </row>
    <row r="81" spans="1:5" x14ac:dyDescent="0.2">
      <c r="A81" t="s">
        <v>124</v>
      </c>
      <c r="B81">
        <v>0.15</v>
      </c>
      <c r="D81" s="13">
        <f>VLOOKUP(A81,'Costo Materia Prima'!$D$3:$I$236,6,FALSE)*B81</f>
        <v>7.77</v>
      </c>
      <c r="E81">
        <f t="shared" si="2"/>
        <v>1.8749999999999999E-2</v>
      </c>
    </row>
    <row r="82" spans="1:5" x14ac:dyDescent="0.2">
      <c r="D82" s="125">
        <f>SUM(D73:D81)</f>
        <v>81.698971666666651</v>
      </c>
    </row>
    <row r="83" spans="1:5" x14ac:dyDescent="0.2">
      <c r="D83" s="13"/>
    </row>
    <row r="84" spans="1:5" x14ac:dyDescent="0.2">
      <c r="A84" t="s">
        <v>540</v>
      </c>
      <c r="B84" s="23">
        <v>8</v>
      </c>
      <c r="C84" t="s">
        <v>21</v>
      </c>
      <c r="D84" s="125">
        <f>D82/B84</f>
        <v>10.212371458333331</v>
      </c>
      <c r="E84" s="13"/>
    </row>
    <row r="85" spans="1:5" x14ac:dyDescent="0.2">
      <c r="B85">
        <v>0.12</v>
      </c>
      <c r="C85" t="s">
        <v>541</v>
      </c>
    </row>
    <row r="86" spans="1:5" x14ac:dyDescent="0.2">
      <c r="A86" t="s">
        <v>285</v>
      </c>
      <c r="B86" s="12">
        <v>1.6E-2</v>
      </c>
      <c r="C86" t="s">
        <v>15</v>
      </c>
      <c r="D86" s="126">
        <f>VLOOKUP(A86,'Costo Materia Prima'!$D$3:$I$236,6,FALSE)*B86</f>
        <v>3.1967999999999996</v>
      </c>
      <c r="E86">
        <f>B86/8</f>
        <v>2E-3</v>
      </c>
    </row>
    <row r="87" spans="1:5" x14ac:dyDescent="0.2">
      <c r="A87" t="s">
        <v>248</v>
      </c>
      <c r="B87">
        <v>1</v>
      </c>
      <c r="C87" t="s">
        <v>21</v>
      </c>
      <c r="D87" s="126">
        <f>VLOOKUP(A87,'Costo Materia Prima'!$D$3:$I$236,6,FALSE)*B87</f>
        <v>2.3219400000000001</v>
      </c>
    </row>
    <row r="88" spans="1:5" x14ac:dyDescent="0.2">
      <c r="D88" s="126"/>
    </row>
    <row r="89" spans="1:5" x14ac:dyDescent="0.2">
      <c r="D89" s="126"/>
    </row>
    <row r="90" spans="1:5" x14ac:dyDescent="0.2">
      <c r="A90" t="s">
        <v>502</v>
      </c>
      <c r="D90" s="126">
        <f>SUM(D84,D86,D87)</f>
        <v>15.731111458333331</v>
      </c>
    </row>
    <row r="92" spans="1:5" x14ac:dyDescent="0.2">
      <c r="A92" t="s">
        <v>503</v>
      </c>
      <c r="C92" s="26">
        <v>0.3</v>
      </c>
      <c r="D92" s="13">
        <f>C92*D90</f>
        <v>4.7193334374999987</v>
      </c>
    </row>
    <row r="93" spans="1:5" x14ac:dyDescent="0.2">
      <c r="A93" t="s">
        <v>529</v>
      </c>
      <c r="C93" s="26">
        <v>0.05</v>
      </c>
      <c r="D93" s="13">
        <f>C93*D90</f>
        <v>0.78655557291666656</v>
      </c>
    </row>
    <row r="97" spans="1:4" x14ac:dyDescent="0.2">
      <c r="A97" t="s">
        <v>438</v>
      </c>
      <c r="D97" s="13">
        <f>SUM(D90,D92:D93)</f>
        <v>21.237000468749994</v>
      </c>
    </row>
    <row r="99" spans="1:4" x14ac:dyDescent="0.2">
      <c r="A99" t="s">
        <v>531</v>
      </c>
      <c r="D99" s="26">
        <v>0.5</v>
      </c>
    </row>
    <row r="101" spans="1:4" x14ac:dyDescent="0.2">
      <c r="A101" t="s">
        <v>526</v>
      </c>
      <c r="D101" s="13">
        <f>D97/(1-D99)</f>
        <v>42.474000937499987</v>
      </c>
    </row>
    <row r="103" spans="1:4" x14ac:dyDescent="0.2">
      <c r="A103" s="310" t="s">
        <v>542</v>
      </c>
      <c r="B103" s="310"/>
      <c r="C103" s="310"/>
      <c r="D103" s="310"/>
    </row>
    <row r="104" spans="1:4" ht="16" thickBot="1" x14ac:dyDescent="0.25">
      <c r="A104" s="158" t="s">
        <v>341</v>
      </c>
      <c r="B104" s="158" t="s">
        <v>4</v>
      </c>
      <c r="C104" s="158" t="s">
        <v>5</v>
      </c>
      <c r="D104" s="158" t="s">
        <v>7</v>
      </c>
    </row>
    <row r="105" spans="1:4" x14ac:dyDescent="0.2">
      <c r="A105" s="160" t="s">
        <v>230</v>
      </c>
      <c r="B105" s="3">
        <v>0.3</v>
      </c>
      <c r="C105" s="3" t="s">
        <v>15</v>
      </c>
      <c r="D105" s="13">
        <f>VLOOKUP(A105,'Costo Materia Prima'!$D$3:$I$236,6,FALSE)*B105</f>
        <v>5.55</v>
      </c>
    </row>
    <row r="106" spans="1:4" x14ac:dyDescent="0.2">
      <c r="A106" t="s">
        <v>132</v>
      </c>
      <c r="B106" s="3">
        <v>2</v>
      </c>
      <c r="C106" s="3" t="s">
        <v>398</v>
      </c>
      <c r="D106" s="13">
        <f>VLOOKUP(A106,'Costo Materia Prima'!$D$3:$I$236,6,FALSE)*B106</f>
        <v>3.6113333333333331</v>
      </c>
    </row>
    <row r="107" spans="1:4" x14ac:dyDescent="0.2">
      <c r="A107" t="s">
        <v>313</v>
      </c>
      <c r="B107" s="3">
        <v>0.15</v>
      </c>
      <c r="C107" s="3" t="s">
        <v>15</v>
      </c>
      <c r="D107" s="13">
        <f>VLOOKUP(A107,'Costo Materia Prima'!$D$3:$I$236,6,FALSE)*B107</f>
        <v>26.249879999999994</v>
      </c>
    </row>
    <row r="108" spans="1:4" x14ac:dyDescent="0.2">
      <c r="A108" t="s">
        <v>222</v>
      </c>
      <c r="B108" s="3">
        <f>15/1000</f>
        <v>1.4999999999999999E-2</v>
      </c>
      <c r="C108" s="3" t="s">
        <v>15</v>
      </c>
      <c r="D108" s="13">
        <f>VLOOKUP(A108,'Costo Materia Prima'!$D$3:$I$236,6,FALSE)*B108</f>
        <v>0.3216</v>
      </c>
    </row>
    <row r="109" spans="1:4" x14ac:dyDescent="0.2">
      <c r="A109" t="s">
        <v>65</v>
      </c>
      <c r="B109">
        <f>2.5/1000</f>
        <v>2.5000000000000001E-3</v>
      </c>
      <c r="C109" s="3" t="s">
        <v>15</v>
      </c>
      <c r="D109" s="13">
        <f>VLOOKUP(A109,'Costo Materia Prima'!$D$3:$I$236,6,FALSE)*B109</f>
        <v>9.6000000000000002E-2</v>
      </c>
    </row>
    <row r="110" spans="1:4" x14ac:dyDescent="0.2">
      <c r="A110" t="s">
        <v>303</v>
      </c>
      <c r="B110">
        <f>2.5/1000</f>
        <v>2.5000000000000001E-3</v>
      </c>
      <c r="C110" s="3" t="s">
        <v>15</v>
      </c>
      <c r="D110" s="13">
        <f>VLOOKUP(A110,'Costo Materia Prima'!$D$3:$I$236,6,FALSE)*B110</f>
        <v>3.6770833333333336E-2</v>
      </c>
    </row>
    <row r="111" spans="1:4" x14ac:dyDescent="0.2">
      <c r="A111" t="s">
        <v>61</v>
      </c>
      <c r="B111">
        <f>5/1000</f>
        <v>5.0000000000000001E-3</v>
      </c>
      <c r="C111" s="3" t="s">
        <v>15</v>
      </c>
      <c r="D111" s="13">
        <f>VLOOKUP(A111,'Costo Materia Prima'!$D$3:$I$236,6,FALSE)*B111</f>
        <v>0.1771875</v>
      </c>
    </row>
    <row r="112" spans="1:4" x14ac:dyDescent="0.2">
      <c r="A112" t="s">
        <v>323</v>
      </c>
      <c r="B112">
        <v>0.15</v>
      </c>
      <c r="C112" s="3" t="s">
        <v>15</v>
      </c>
      <c r="D112" s="13">
        <f>VLOOKUP(A112,'Costo Materia Prima'!$D$3:$I$236,6,FALSE)*B112</f>
        <v>37.886200000000002</v>
      </c>
    </row>
    <row r="113" spans="1:4" x14ac:dyDescent="0.2">
      <c r="A113" t="s">
        <v>124</v>
      </c>
      <c r="B113">
        <v>0.15</v>
      </c>
      <c r="C113" s="3" t="s">
        <v>15</v>
      </c>
      <c r="D113" s="13">
        <f>VLOOKUP(A113,'Costo Materia Prima'!$D$3:$I$236,6,FALSE)*B113</f>
        <v>7.77</v>
      </c>
    </row>
    <row r="114" spans="1:4" x14ac:dyDescent="0.2">
      <c r="D114" s="125">
        <f>SUM(D105:D113)</f>
        <v>81.698971666666651</v>
      </c>
    </row>
    <row r="115" spans="1:4" x14ac:dyDescent="0.2">
      <c r="D115" s="13"/>
    </row>
    <row r="116" spans="1:4" x14ac:dyDescent="0.2">
      <c r="A116" t="s">
        <v>540</v>
      </c>
      <c r="B116" s="23">
        <v>8</v>
      </c>
      <c r="C116" t="s">
        <v>21</v>
      </c>
      <c r="D116" s="125">
        <f>D114/B116</f>
        <v>10.212371458333331</v>
      </c>
    </row>
    <row r="117" spans="1:4" x14ac:dyDescent="0.2">
      <c r="B117">
        <v>0.12</v>
      </c>
      <c r="C117" t="s">
        <v>541</v>
      </c>
    </row>
    <row r="118" spans="1:4" x14ac:dyDescent="0.2">
      <c r="A118" t="s">
        <v>543</v>
      </c>
      <c r="B118" s="12">
        <v>1.7999999999999999E-2</v>
      </c>
      <c r="C118" t="s">
        <v>15</v>
      </c>
      <c r="D118" s="126">
        <f>VLOOKUP(A118,'Costo Materia Prima'!$D$3:$I$236,6,FALSE)*B118</f>
        <v>2.052</v>
      </c>
    </row>
    <row r="119" spans="1:4" x14ac:dyDescent="0.2">
      <c r="A119" t="s">
        <v>248</v>
      </c>
      <c r="B119">
        <v>1</v>
      </c>
      <c r="C119" t="s">
        <v>21</v>
      </c>
      <c r="D119" s="126">
        <f>VLOOKUP(A119,'Costo Materia Prima'!$D$3:$I$236,6,FALSE)*B119</f>
        <v>2.3219400000000001</v>
      </c>
    </row>
    <row r="120" spans="1:4" x14ac:dyDescent="0.2">
      <c r="D120" s="126"/>
    </row>
    <row r="121" spans="1:4" x14ac:dyDescent="0.2">
      <c r="D121" s="126"/>
    </row>
    <row r="122" spans="1:4" x14ac:dyDescent="0.2">
      <c r="A122" t="s">
        <v>502</v>
      </c>
      <c r="D122" s="126">
        <f>SUM(D116,D118,D119)</f>
        <v>14.586311458333331</v>
      </c>
    </row>
    <row r="124" spans="1:4" x14ac:dyDescent="0.2">
      <c r="A124" t="s">
        <v>503</v>
      </c>
      <c r="C124" s="26">
        <v>0.3</v>
      </c>
      <c r="D124" s="13">
        <f>C124*D122</f>
        <v>4.3758934374999994</v>
      </c>
    </row>
    <row r="125" spans="1:4" x14ac:dyDescent="0.2">
      <c r="A125" t="s">
        <v>529</v>
      </c>
      <c r="C125" s="26">
        <v>0.05</v>
      </c>
      <c r="D125" s="13">
        <f>C125*D122</f>
        <v>0.7293155729166666</v>
      </c>
    </row>
    <row r="129" spans="1:6" x14ac:dyDescent="0.2">
      <c r="A129" t="s">
        <v>438</v>
      </c>
      <c r="D129" s="13">
        <f>SUM(D122,D124:D125)</f>
        <v>19.691520468749996</v>
      </c>
    </row>
    <row r="131" spans="1:6" x14ac:dyDescent="0.2">
      <c r="A131" t="s">
        <v>531</v>
      </c>
      <c r="D131" s="26">
        <v>0.5</v>
      </c>
    </row>
    <row r="133" spans="1:6" x14ac:dyDescent="0.2">
      <c r="A133" t="s">
        <v>526</v>
      </c>
      <c r="D133" s="13">
        <f>D129/(1-D131)</f>
        <v>39.383040937499992</v>
      </c>
    </row>
    <row r="135" spans="1:6" x14ac:dyDescent="0.2">
      <c r="A135" s="310" t="s">
        <v>544</v>
      </c>
      <c r="B135" s="310"/>
      <c r="C135" s="310"/>
      <c r="D135" s="310"/>
    </row>
    <row r="136" spans="1:6" ht="16" thickBot="1" x14ac:dyDescent="0.25">
      <c r="A136" s="158" t="s">
        <v>341</v>
      </c>
      <c r="B136" s="158" t="s">
        <v>4</v>
      </c>
      <c r="C136" s="158" t="s">
        <v>5</v>
      </c>
      <c r="D136" s="158" t="s">
        <v>7</v>
      </c>
    </row>
    <row r="137" spans="1:6" x14ac:dyDescent="0.2">
      <c r="A137" s="160" t="s">
        <v>230</v>
      </c>
      <c r="B137" s="3">
        <v>0.3</v>
      </c>
      <c r="C137" s="3" t="s">
        <v>15</v>
      </c>
      <c r="D137" s="13">
        <f>VLOOKUP(A137,'Costo Materia Prima'!$D$3:$I$236,6,FALSE)*B137</f>
        <v>5.55</v>
      </c>
      <c r="E137">
        <f>B137/$B$149</f>
        <v>3.7499999999999999E-2</v>
      </c>
      <c r="F137">
        <f>E137*1000</f>
        <v>37.5</v>
      </c>
    </row>
    <row r="138" spans="1:6" x14ac:dyDescent="0.2">
      <c r="A138" t="s">
        <v>132</v>
      </c>
      <c r="B138" s="3">
        <v>2</v>
      </c>
      <c r="C138" s="3" t="s">
        <v>398</v>
      </c>
      <c r="D138" s="13">
        <f>VLOOKUP(A138,'Costo Materia Prima'!$D$3:$I$236,6,FALSE)*B138</f>
        <v>3.6113333333333331</v>
      </c>
      <c r="E138">
        <f t="shared" ref="E138:E146" si="3">B138/$B$149</f>
        <v>0.25</v>
      </c>
      <c r="F138">
        <f t="shared" ref="F138:F146" si="4">E138*1000</f>
        <v>250</v>
      </c>
    </row>
    <row r="139" spans="1:6" x14ac:dyDescent="0.2">
      <c r="A139" t="s">
        <v>313</v>
      </c>
      <c r="B139" s="3">
        <v>0.15</v>
      </c>
      <c r="C139" s="3" t="s">
        <v>15</v>
      </c>
      <c r="D139" s="13">
        <f>VLOOKUP(A139,'Costo Materia Prima'!$D$3:$I$236,6,FALSE)*B139</f>
        <v>26.249879999999994</v>
      </c>
      <c r="E139">
        <f t="shared" si="3"/>
        <v>1.8749999999999999E-2</v>
      </c>
      <c r="F139">
        <f t="shared" si="4"/>
        <v>18.75</v>
      </c>
    </row>
    <row r="140" spans="1:6" x14ac:dyDescent="0.2">
      <c r="A140" t="s">
        <v>222</v>
      </c>
      <c r="B140" s="3">
        <f>15/1000</f>
        <v>1.4999999999999999E-2</v>
      </c>
      <c r="C140" s="3" t="s">
        <v>15</v>
      </c>
      <c r="D140" s="13">
        <f>VLOOKUP(A140,'Costo Materia Prima'!$D$3:$I$236,6,FALSE)*B140</f>
        <v>0.3216</v>
      </c>
      <c r="E140">
        <f t="shared" si="3"/>
        <v>1.8749999999999999E-3</v>
      </c>
      <c r="F140">
        <f t="shared" si="4"/>
        <v>1.875</v>
      </c>
    </row>
    <row r="141" spans="1:6" x14ac:dyDescent="0.2">
      <c r="A141" t="s">
        <v>65</v>
      </c>
      <c r="B141">
        <f>2.5/1000</f>
        <v>2.5000000000000001E-3</v>
      </c>
      <c r="C141" s="3" t="s">
        <v>15</v>
      </c>
      <c r="D141" s="13">
        <f>VLOOKUP(A141,'Costo Materia Prima'!$D$3:$I$236,6,FALSE)*B141</f>
        <v>9.6000000000000002E-2</v>
      </c>
      <c r="E141">
        <f t="shared" si="3"/>
        <v>3.1250000000000001E-4</v>
      </c>
      <c r="F141">
        <f t="shared" si="4"/>
        <v>0.3125</v>
      </c>
    </row>
    <row r="142" spans="1:6" x14ac:dyDescent="0.2">
      <c r="A142" t="s">
        <v>303</v>
      </c>
      <c r="B142">
        <f>2.5/1000</f>
        <v>2.5000000000000001E-3</v>
      </c>
      <c r="C142" s="3" t="s">
        <v>15</v>
      </c>
      <c r="D142" s="13">
        <f>VLOOKUP(A142,'Costo Materia Prima'!$D$3:$I$236,6,FALSE)*B142</f>
        <v>3.6770833333333336E-2</v>
      </c>
      <c r="E142">
        <f t="shared" si="3"/>
        <v>3.1250000000000001E-4</v>
      </c>
      <c r="F142">
        <f t="shared" si="4"/>
        <v>0.3125</v>
      </c>
    </row>
    <row r="143" spans="1:6" x14ac:dyDescent="0.2">
      <c r="A143" t="s">
        <v>61</v>
      </c>
      <c r="B143">
        <f>5/1000</f>
        <v>5.0000000000000001E-3</v>
      </c>
      <c r="C143" s="3" t="s">
        <v>15</v>
      </c>
      <c r="D143" s="13">
        <f>VLOOKUP(A143,'Costo Materia Prima'!$D$3:$I$236,6,FALSE)*B143</f>
        <v>0.1771875</v>
      </c>
      <c r="E143">
        <f t="shared" si="3"/>
        <v>6.2500000000000001E-4</v>
      </c>
      <c r="F143">
        <f t="shared" si="4"/>
        <v>0.625</v>
      </c>
    </row>
    <row r="144" spans="1:6" x14ac:dyDescent="0.2">
      <c r="A144" t="s">
        <v>323</v>
      </c>
      <c r="B144">
        <v>0</v>
      </c>
      <c r="C144" s="3" t="s">
        <v>15</v>
      </c>
      <c r="D144" s="13">
        <f>VLOOKUP(A144,'Costo Materia Prima'!$D$3:$I$236,6,FALSE)*B144</f>
        <v>0</v>
      </c>
      <c r="E144">
        <f t="shared" si="3"/>
        <v>0</v>
      </c>
      <c r="F144">
        <f t="shared" si="4"/>
        <v>0</v>
      </c>
    </row>
    <row r="145" spans="1:6" x14ac:dyDescent="0.2">
      <c r="A145" t="s">
        <v>124</v>
      </c>
      <c r="B145">
        <v>0.15</v>
      </c>
      <c r="C145" s="3" t="s">
        <v>15</v>
      </c>
      <c r="D145" s="13">
        <f>VLOOKUP(A145,'Costo Materia Prima'!$D$3:$I$236,6,FALSE)*B145</f>
        <v>7.77</v>
      </c>
      <c r="E145">
        <f t="shared" si="3"/>
        <v>1.8749999999999999E-2</v>
      </c>
      <c r="F145">
        <f t="shared" si="4"/>
        <v>18.75</v>
      </c>
    </row>
    <row r="146" spans="1:6" x14ac:dyDescent="0.2">
      <c r="A146" t="s">
        <v>319</v>
      </c>
      <c r="B146">
        <v>0.11</v>
      </c>
      <c r="C146" s="3" t="s">
        <v>15</v>
      </c>
      <c r="D146" s="13">
        <f>VLOOKUP(A146,'Costo Materia Prima'!$D$3:$I$236,6,FALSE)*B146</f>
        <v>12.949199999999999</v>
      </c>
      <c r="E146">
        <f t="shared" si="3"/>
        <v>1.375E-2</v>
      </c>
      <c r="F146">
        <f t="shared" si="4"/>
        <v>13.75</v>
      </c>
    </row>
    <row r="147" spans="1:6" x14ac:dyDescent="0.2">
      <c r="D147" s="125">
        <f>SUM(D137:D146)</f>
        <v>56.76197166666666</v>
      </c>
    </row>
    <row r="148" spans="1:6" x14ac:dyDescent="0.2">
      <c r="D148" s="13"/>
    </row>
    <row r="149" spans="1:6" x14ac:dyDescent="0.2">
      <c r="A149" t="s">
        <v>540</v>
      </c>
      <c r="B149" s="23">
        <v>8</v>
      </c>
      <c r="C149" t="s">
        <v>21</v>
      </c>
      <c r="D149" s="125">
        <f>D147/B149</f>
        <v>7.0952464583333326</v>
      </c>
    </row>
    <row r="150" spans="1:6" x14ac:dyDescent="0.2">
      <c r="B150">
        <v>0.12</v>
      </c>
      <c r="C150" t="s">
        <v>541</v>
      </c>
    </row>
    <row r="151" spans="1:6" x14ac:dyDescent="0.2">
      <c r="A151" t="s">
        <v>321</v>
      </c>
      <c r="B151" s="12">
        <f>11/1000</f>
        <v>1.0999999999999999E-2</v>
      </c>
      <c r="C151" t="s">
        <v>15</v>
      </c>
      <c r="D151" s="126">
        <f>VLOOKUP(A151,'Costo Materia Prima'!$D$3:$I$236,6,FALSE)*B151</f>
        <v>1.35432</v>
      </c>
    </row>
    <row r="152" spans="1:6" x14ac:dyDescent="0.2">
      <c r="A152" t="s">
        <v>523</v>
      </c>
      <c r="B152" s="12">
        <v>5.0000000000000001E-3</v>
      </c>
      <c r="C152" t="s">
        <v>15</v>
      </c>
      <c r="D152" s="126">
        <f>B152*R6</f>
        <v>0.55000000000000004</v>
      </c>
    </row>
    <row r="153" spans="1:6" x14ac:dyDescent="0.2">
      <c r="A153" t="s">
        <v>248</v>
      </c>
      <c r="B153">
        <v>0</v>
      </c>
      <c r="C153" t="s">
        <v>21</v>
      </c>
      <c r="D153" s="126">
        <f>VLOOKUP(A153,'Costo Materia Prima'!$D$3:$I$236,6,FALSE)*B153</f>
        <v>0</v>
      </c>
    </row>
    <row r="154" spans="1:6" x14ac:dyDescent="0.2">
      <c r="D154" s="126"/>
    </row>
    <row r="155" spans="1:6" x14ac:dyDescent="0.2">
      <c r="D155" s="126"/>
    </row>
    <row r="156" spans="1:6" x14ac:dyDescent="0.2">
      <c r="A156" t="s">
        <v>502</v>
      </c>
      <c r="D156" s="126">
        <f>SUM(D149,D151,D153,D152)</f>
        <v>8.9995664583333337</v>
      </c>
    </row>
    <row r="158" spans="1:6" x14ac:dyDescent="0.2">
      <c r="A158" t="s">
        <v>503</v>
      </c>
      <c r="C158" s="26">
        <v>0.3</v>
      </c>
      <c r="D158" s="13">
        <f>C158*D156</f>
        <v>2.6998699374999999</v>
      </c>
    </row>
    <row r="159" spans="1:6" x14ac:dyDescent="0.2">
      <c r="A159" t="s">
        <v>529</v>
      </c>
      <c r="C159" s="26">
        <v>0.05</v>
      </c>
      <c r="D159" s="13">
        <f>C159*D156</f>
        <v>0.44997832291666673</v>
      </c>
    </row>
    <row r="163" spans="1:7" x14ac:dyDescent="0.2">
      <c r="A163" t="s">
        <v>438</v>
      </c>
      <c r="D163" s="13">
        <f>SUM(D156,D158:D159)</f>
        <v>12.149414718750002</v>
      </c>
    </row>
    <row r="165" spans="1:7" x14ac:dyDescent="0.2">
      <c r="A165" t="s">
        <v>531</v>
      </c>
      <c r="D165" s="26">
        <v>0.5</v>
      </c>
    </row>
    <row r="167" spans="1:7" x14ac:dyDescent="0.2">
      <c r="A167" t="s">
        <v>526</v>
      </c>
      <c r="D167" s="13">
        <f>D163/(1-D165)</f>
        <v>24.298829437500004</v>
      </c>
    </row>
    <row r="169" spans="1:7" x14ac:dyDescent="0.2">
      <c r="A169" s="310" t="s">
        <v>545</v>
      </c>
      <c r="B169" s="310"/>
      <c r="C169" s="310"/>
      <c r="D169" s="310"/>
    </row>
    <row r="170" spans="1:7" ht="16" thickBot="1" x14ac:dyDescent="0.25">
      <c r="A170" s="158" t="s">
        <v>341</v>
      </c>
      <c r="B170" s="158" t="s">
        <v>4</v>
      </c>
      <c r="C170" s="158" t="s">
        <v>5</v>
      </c>
      <c r="D170" s="158" t="s">
        <v>7</v>
      </c>
    </row>
    <row r="171" spans="1:7" x14ac:dyDescent="0.2">
      <c r="A171" s="160" t="s">
        <v>230</v>
      </c>
      <c r="B171" s="3">
        <v>0.3</v>
      </c>
      <c r="C171" s="3" t="s">
        <v>15</v>
      </c>
      <c r="D171" s="13">
        <f>VLOOKUP(A171,'Costo Materia Prima'!$D$3:$I$236,6,FALSE)*B171</f>
        <v>5.55</v>
      </c>
      <c r="G171">
        <f t="shared" ref="G171:G179" si="5">B171/8</f>
        <v>3.7499999999999999E-2</v>
      </c>
    </row>
    <row r="172" spans="1:7" x14ac:dyDescent="0.2">
      <c r="A172" t="s">
        <v>132</v>
      </c>
      <c r="B172" s="3">
        <v>2</v>
      </c>
      <c r="C172" s="3" t="s">
        <v>398</v>
      </c>
      <c r="D172" s="13">
        <f>VLOOKUP(A172,'Costo Materia Prima'!$D$3:$I$236,6,FALSE)*B172</f>
        <v>3.6113333333333331</v>
      </c>
      <c r="G172">
        <f t="shared" si="5"/>
        <v>0.25</v>
      </c>
    </row>
    <row r="173" spans="1:7" x14ac:dyDescent="0.2">
      <c r="A173" t="s">
        <v>313</v>
      </c>
      <c r="B173" s="3">
        <v>0.15</v>
      </c>
      <c r="C173" s="3" t="s">
        <v>15</v>
      </c>
      <c r="D173" s="13">
        <f>VLOOKUP(A173,'Costo Materia Prima'!$D$3:$I$236,6,FALSE)*B173</f>
        <v>26.249879999999994</v>
      </c>
      <c r="G173">
        <f t="shared" si="5"/>
        <v>1.8749999999999999E-2</v>
      </c>
    </row>
    <row r="174" spans="1:7" x14ac:dyDescent="0.2">
      <c r="A174" t="s">
        <v>222</v>
      </c>
      <c r="B174" s="3">
        <f>15/1000</f>
        <v>1.4999999999999999E-2</v>
      </c>
      <c r="C174" s="3" t="s">
        <v>15</v>
      </c>
      <c r="D174" s="13">
        <f>VLOOKUP(A174,'Costo Materia Prima'!$D$3:$I$236,6,FALSE)*B174</f>
        <v>0.3216</v>
      </c>
      <c r="G174">
        <f t="shared" si="5"/>
        <v>1.8749999999999999E-3</v>
      </c>
    </row>
    <row r="175" spans="1:7" x14ac:dyDescent="0.2">
      <c r="A175" t="s">
        <v>65</v>
      </c>
      <c r="B175">
        <f>2.5/1000</f>
        <v>2.5000000000000001E-3</v>
      </c>
      <c r="C175" s="3" t="s">
        <v>15</v>
      </c>
      <c r="D175" s="13">
        <f>VLOOKUP(A175,'Costo Materia Prima'!$D$3:$I$236,6,FALSE)*B175</f>
        <v>9.6000000000000002E-2</v>
      </c>
      <c r="G175">
        <f t="shared" si="5"/>
        <v>3.1250000000000001E-4</v>
      </c>
    </row>
    <row r="176" spans="1:7" x14ac:dyDescent="0.2">
      <c r="A176" t="s">
        <v>303</v>
      </c>
      <c r="B176">
        <f>2.5/1000</f>
        <v>2.5000000000000001E-3</v>
      </c>
      <c r="C176" s="3" t="s">
        <v>15</v>
      </c>
      <c r="D176" s="13">
        <f>VLOOKUP(A176,'Costo Materia Prima'!$D$3:$I$236,6,FALSE)*B176</f>
        <v>3.6770833333333336E-2</v>
      </c>
      <c r="G176">
        <f t="shared" si="5"/>
        <v>3.1250000000000001E-4</v>
      </c>
    </row>
    <row r="177" spans="1:7" x14ac:dyDescent="0.2">
      <c r="A177" t="s">
        <v>61</v>
      </c>
      <c r="B177">
        <f>5/1000</f>
        <v>5.0000000000000001E-3</v>
      </c>
      <c r="C177" s="3" t="s">
        <v>15</v>
      </c>
      <c r="D177" s="13">
        <f>VLOOKUP(A177,'Costo Materia Prima'!$D$3:$I$236,6,FALSE)*B177</f>
        <v>0.1771875</v>
      </c>
      <c r="G177">
        <f t="shared" si="5"/>
        <v>6.2500000000000001E-4</v>
      </c>
    </row>
    <row r="178" spans="1:7" x14ac:dyDescent="0.2">
      <c r="A178" t="s">
        <v>323</v>
      </c>
      <c r="B178">
        <v>0.31</v>
      </c>
      <c r="C178" s="3" t="s">
        <v>15</v>
      </c>
      <c r="D178" s="13">
        <f>VLOOKUP(A178,'Costo Materia Prima'!$D$3:$I$236,6,FALSE)*B178</f>
        <v>78.298146666666668</v>
      </c>
      <c r="G178">
        <f t="shared" si="5"/>
        <v>3.875E-2</v>
      </c>
    </row>
    <row r="179" spans="1:7" x14ac:dyDescent="0.2">
      <c r="A179" t="s">
        <v>124</v>
      </c>
      <c r="B179">
        <v>0.15</v>
      </c>
      <c r="C179" s="3" t="s">
        <v>15</v>
      </c>
      <c r="D179" s="13">
        <f>VLOOKUP(A179,'Costo Materia Prima'!$D$3:$I$236,6,FALSE)*B179</f>
        <v>7.77</v>
      </c>
      <c r="G179">
        <f t="shared" si="5"/>
        <v>1.8749999999999999E-2</v>
      </c>
    </row>
    <row r="180" spans="1:7" x14ac:dyDescent="0.2">
      <c r="D180" s="125">
        <f>SUM(D171:D179)</f>
        <v>122.11091833333332</v>
      </c>
    </row>
    <row r="181" spans="1:7" x14ac:dyDescent="0.2">
      <c r="D181" s="13"/>
    </row>
    <row r="182" spans="1:7" x14ac:dyDescent="0.2">
      <c r="A182" t="s">
        <v>540</v>
      </c>
      <c r="B182" s="23">
        <v>8</v>
      </c>
      <c r="C182" t="s">
        <v>21</v>
      </c>
      <c r="D182" s="125">
        <f>D180/B182</f>
        <v>15.263864791666665</v>
      </c>
    </row>
    <row r="183" spans="1:7" x14ac:dyDescent="0.2">
      <c r="B183">
        <v>0.12</v>
      </c>
      <c r="C183" t="s">
        <v>541</v>
      </c>
    </row>
    <row r="184" spans="1:7" x14ac:dyDescent="0.2">
      <c r="A184" t="s">
        <v>323</v>
      </c>
      <c r="B184" s="12">
        <v>1.6E-2</v>
      </c>
      <c r="C184" t="s">
        <v>15</v>
      </c>
      <c r="D184" s="126">
        <f>VLOOKUP(A184,'Costo Materia Prima'!$D$3:$I$236,6,FALSE)*B184</f>
        <v>4.0411946666666667</v>
      </c>
      <c r="E184" s="156">
        <f>B184+(18.75)/1000</f>
        <v>3.4750000000000003E-2</v>
      </c>
    </row>
    <row r="185" spans="1:7" x14ac:dyDescent="0.2">
      <c r="A185" t="s">
        <v>502</v>
      </c>
      <c r="D185" s="126">
        <f>D184+D182</f>
        <v>19.305059458333332</v>
      </c>
    </row>
    <row r="187" spans="1:7" x14ac:dyDescent="0.2">
      <c r="A187" s="310" t="s">
        <v>602</v>
      </c>
      <c r="B187" s="310"/>
      <c r="C187" s="310"/>
      <c r="D187" s="310"/>
    </row>
    <row r="188" spans="1:7" ht="16" thickBot="1" x14ac:dyDescent="0.25">
      <c r="A188" s="158" t="s">
        <v>341</v>
      </c>
      <c r="B188" s="158" t="s">
        <v>4</v>
      </c>
      <c r="C188" s="158" t="s">
        <v>5</v>
      </c>
      <c r="D188" s="158" t="s">
        <v>7</v>
      </c>
    </row>
    <row r="189" spans="1:7" x14ac:dyDescent="0.2">
      <c r="A189" s="105" t="s">
        <v>313</v>
      </c>
      <c r="B189">
        <v>0.113</v>
      </c>
      <c r="C189" t="s">
        <v>15</v>
      </c>
      <c r="D189" s="13">
        <f>VLOOKUP(A189,'Costo Materia Prima'!$D$3:$I$236,6,FALSE)*B189</f>
        <v>19.774909599999997</v>
      </c>
    </row>
    <row r="190" spans="1:7" x14ac:dyDescent="0.2">
      <c r="A190" s="105" t="s">
        <v>13</v>
      </c>
      <c r="B190">
        <v>0.66</v>
      </c>
      <c r="C190" t="s">
        <v>15</v>
      </c>
      <c r="D190" s="13">
        <f>VLOOKUP(A190,'Costo Materia Prima'!$D$3:$I$236,6,FALSE)*B190</f>
        <v>13.464</v>
      </c>
    </row>
    <row r="191" spans="1:7" x14ac:dyDescent="0.2">
      <c r="A191" s="105" t="s">
        <v>124</v>
      </c>
      <c r="B191">
        <v>0.104</v>
      </c>
      <c r="C191" t="s">
        <v>15</v>
      </c>
      <c r="D191" s="13">
        <f>VLOOKUP(A191,'Costo Materia Prima'!$D$3:$I$236,6,FALSE)*B191</f>
        <v>5.3871999999999991</v>
      </c>
    </row>
    <row r="192" spans="1:7" x14ac:dyDescent="0.2">
      <c r="A192" s="105" t="s">
        <v>183</v>
      </c>
      <c r="B192">
        <v>0.01</v>
      </c>
      <c r="C192" t="s">
        <v>18</v>
      </c>
      <c r="D192" s="13">
        <f>VLOOKUP(A192,'Costo Materia Prima'!$D$3:$I$236,6,FALSE)*B192</f>
        <v>0.69621718750000006</v>
      </c>
    </row>
    <row r="193" spans="1:4" x14ac:dyDescent="0.2">
      <c r="A193" s="105" t="s">
        <v>230</v>
      </c>
      <c r="B193">
        <v>0.186</v>
      </c>
      <c r="C193" t="s">
        <v>15</v>
      </c>
      <c r="D193" s="13">
        <f>VLOOKUP(A193,'Costo Materia Prima'!$D$3:$I$236,6,FALSE)*B193</f>
        <v>3.4409999999999998</v>
      </c>
    </row>
    <row r="194" spans="1:4" x14ac:dyDescent="0.2">
      <c r="A194" s="105" t="s">
        <v>303</v>
      </c>
      <c r="B194">
        <v>3.0000000000000001E-3</v>
      </c>
      <c r="C194" t="s">
        <v>15</v>
      </c>
      <c r="D194" s="13">
        <f>VLOOKUP(A194,'Costo Materia Prima'!$D$3:$I$236,6,FALSE)*B194</f>
        <v>4.4125000000000004E-2</v>
      </c>
    </row>
    <row r="195" spans="1:4" x14ac:dyDescent="0.2">
      <c r="A195" s="105" t="s">
        <v>65</v>
      </c>
      <c r="B195">
        <v>5.0000000000000001E-3</v>
      </c>
      <c r="C195" t="s">
        <v>15</v>
      </c>
      <c r="D195" s="13">
        <f>VLOOKUP(A195,'Costo Materia Prima'!$D$3:$I$236,6,FALSE)*B195</f>
        <v>0.192</v>
      </c>
    </row>
    <row r="196" spans="1:4" x14ac:dyDescent="0.2">
      <c r="A196" s="105" t="s">
        <v>323</v>
      </c>
      <c r="B196">
        <v>0.1</v>
      </c>
      <c r="C196" t="s">
        <v>15</v>
      </c>
      <c r="D196" s="13">
        <f>VLOOKUP(A196,'Costo Materia Prima'!$D$3:$I$236,6,FALSE)*B196</f>
        <v>25.257466666666669</v>
      </c>
    </row>
    <row r="197" spans="1:4" x14ac:dyDescent="0.2">
      <c r="A197" s="105" t="s">
        <v>132</v>
      </c>
      <c r="B197">
        <v>1</v>
      </c>
      <c r="C197" t="s">
        <v>21</v>
      </c>
      <c r="D197" s="13">
        <f>VLOOKUP(A197,'Costo Materia Prima'!$D$3:$I$236,6,FALSE)*B197</f>
        <v>1.8056666666666665</v>
      </c>
    </row>
    <row r="198" spans="1:4" x14ac:dyDescent="0.2">
      <c r="A198" s="105" t="s">
        <v>212</v>
      </c>
      <c r="B198">
        <v>1.1599999999999999E-2</v>
      </c>
      <c r="C198" t="s">
        <v>18</v>
      </c>
      <c r="D198" s="13">
        <f>VLOOKUP(A198,'Costo Materia Prima'!$D$3:$I$236,6,FALSE)*B198</f>
        <v>0.35147999999999996</v>
      </c>
    </row>
    <row r="199" spans="1:4" x14ac:dyDescent="0.2">
      <c r="A199" s="105" t="s">
        <v>317</v>
      </c>
      <c r="B199">
        <v>1.0999999999999999E-2</v>
      </c>
      <c r="C199" t="s">
        <v>15</v>
      </c>
      <c r="D199" s="13">
        <f>VLOOKUP(A199,'Costo Materia Prima'!$D$3:$I$236,6,FALSE)*B199</f>
        <v>2.673</v>
      </c>
    </row>
    <row r="200" spans="1:4" x14ac:dyDescent="0.2">
      <c r="A200" s="105" t="s">
        <v>187</v>
      </c>
      <c r="B200">
        <v>6.0000000000000001E-3</v>
      </c>
      <c r="C200" t="s">
        <v>18</v>
      </c>
      <c r="D200" s="13">
        <f>VLOOKUP(A200,'Costo Materia Prima'!$D$3:$I$236,6,FALSE)*B200</f>
        <v>0.34312199999999998</v>
      </c>
    </row>
    <row r="201" spans="1:4" x14ac:dyDescent="0.2">
      <c r="A201" s="105" t="s">
        <v>42</v>
      </c>
      <c r="B201">
        <v>8.0000000000000002E-3</v>
      </c>
      <c r="C201" t="s">
        <v>18</v>
      </c>
      <c r="D201" s="13">
        <f>VLOOKUP(A201,'Costo Materia Prima'!$D$3:$I$236,6,FALSE)*B201</f>
        <v>4.041419354838709</v>
      </c>
    </row>
    <row r="202" spans="1:4" x14ac:dyDescent="0.2">
      <c r="A202" s="105" t="s">
        <v>220</v>
      </c>
      <c r="B202">
        <v>0.26600000000000001</v>
      </c>
      <c r="C202" t="s">
        <v>15</v>
      </c>
      <c r="D202" s="13">
        <f>VLOOKUP(A202,'Costo Materia Prima'!$D$3:$I$236,6,FALSE)*B202</f>
        <v>7.5145</v>
      </c>
    </row>
    <row r="203" spans="1:4" x14ac:dyDescent="0.2">
      <c r="A203" s="105" t="s">
        <v>218</v>
      </c>
      <c r="B203">
        <v>0.05</v>
      </c>
      <c r="C203" t="s">
        <v>15</v>
      </c>
      <c r="D203" s="13">
        <f>VLOOKUP(A203,'Costo Materia Prima'!$D$3:$I$236,6,FALSE)*B203</f>
        <v>5.5</v>
      </c>
    </row>
    <row r="204" spans="1:4" x14ac:dyDescent="0.2">
      <c r="D204" s="13">
        <f>SUM(D189:D203)</f>
        <v>90.486106475672031</v>
      </c>
    </row>
    <row r="205" spans="1:4" x14ac:dyDescent="0.2">
      <c r="A205" s="105" t="s">
        <v>540</v>
      </c>
      <c r="D205">
        <v>9</v>
      </c>
    </row>
    <row r="206" spans="1:4" x14ac:dyDescent="0.2">
      <c r="A206" t="s">
        <v>412</v>
      </c>
      <c r="D206" s="13">
        <f>D204/D205</f>
        <v>10.054011830630225</v>
      </c>
    </row>
    <row r="208" spans="1:4" x14ac:dyDescent="0.2">
      <c r="A208" s="336" t="s">
        <v>729</v>
      </c>
      <c r="B208" s="336"/>
      <c r="C208" s="336"/>
      <c r="D208" s="336"/>
    </row>
    <row r="209" spans="1:6" ht="16" thickBot="1" x14ac:dyDescent="0.25">
      <c r="A209" s="158" t="s">
        <v>341</v>
      </c>
      <c r="B209" s="158" t="s">
        <v>4</v>
      </c>
      <c r="C209" s="158" t="s">
        <v>5</v>
      </c>
      <c r="D209" s="158" t="s">
        <v>7</v>
      </c>
    </row>
    <row r="210" spans="1:6" x14ac:dyDescent="0.2">
      <c r="A210" s="105" t="s">
        <v>313</v>
      </c>
      <c r="B210">
        <v>0.113</v>
      </c>
      <c r="C210" t="s">
        <v>15</v>
      </c>
      <c r="D210" s="13">
        <f>VLOOKUP(A210,'Costo Materia Prima'!$D$3:$I$236,6,FALSE)*B210</f>
        <v>19.774909599999997</v>
      </c>
      <c r="F210">
        <f t="shared" ref="F210:F221" si="6">B210/5</f>
        <v>2.2600000000000002E-2</v>
      </c>
    </row>
    <row r="211" spans="1:6" x14ac:dyDescent="0.2">
      <c r="A211" s="105" t="s">
        <v>124</v>
      </c>
      <c r="B211">
        <v>0.108</v>
      </c>
      <c r="C211" t="s">
        <v>15</v>
      </c>
      <c r="D211" s="13">
        <f>VLOOKUP(A211,'Costo Materia Prima'!$D$3:$I$236,6,FALSE)*B211</f>
        <v>5.5943999999999994</v>
      </c>
      <c r="F211">
        <f t="shared" si="6"/>
        <v>2.1600000000000001E-2</v>
      </c>
    </row>
    <row r="212" spans="1:6" x14ac:dyDescent="0.2">
      <c r="A212" s="105" t="s">
        <v>183</v>
      </c>
      <c r="B212">
        <v>0.01</v>
      </c>
      <c r="C212" t="s">
        <v>18</v>
      </c>
      <c r="D212" s="13">
        <f>VLOOKUP(A212,'Costo Materia Prima'!$D$3:$I$236,6,FALSE)*B212</f>
        <v>0.69621718750000006</v>
      </c>
      <c r="F212">
        <f t="shared" si="6"/>
        <v>2E-3</v>
      </c>
    </row>
    <row r="213" spans="1:6" x14ac:dyDescent="0.2">
      <c r="A213" s="105" t="s">
        <v>230</v>
      </c>
      <c r="B213">
        <v>0.2</v>
      </c>
      <c r="C213" t="s">
        <v>15</v>
      </c>
      <c r="D213" s="13">
        <f>VLOOKUP(A213,'Costo Materia Prima'!$D$3:$I$236,6,FALSE)*B213</f>
        <v>3.7</v>
      </c>
      <c r="F213">
        <f t="shared" si="6"/>
        <v>0.04</v>
      </c>
    </row>
    <row r="214" spans="1:6" x14ac:dyDescent="0.2">
      <c r="A214" s="105" t="s">
        <v>303</v>
      </c>
      <c r="B214">
        <v>3.0000000000000001E-3</v>
      </c>
      <c r="C214" t="s">
        <v>15</v>
      </c>
      <c r="D214" s="13">
        <f>VLOOKUP(A214,'Costo Materia Prima'!$D$3:$I$236,6,FALSE)*B214</f>
        <v>4.4125000000000004E-2</v>
      </c>
      <c r="F214">
        <f t="shared" si="6"/>
        <v>6.0000000000000006E-4</v>
      </c>
    </row>
    <row r="215" spans="1:6" x14ac:dyDescent="0.2">
      <c r="A215" s="105" t="s">
        <v>65</v>
      </c>
      <c r="B215">
        <v>5.0000000000000001E-3</v>
      </c>
      <c r="C215" t="s">
        <v>15</v>
      </c>
      <c r="D215" s="13">
        <f>VLOOKUP(A215,'Costo Materia Prima'!$D$3:$I$236,6,FALSE)*B215</f>
        <v>0.192</v>
      </c>
      <c r="F215">
        <f t="shared" si="6"/>
        <v>1E-3</v>
      </c>
    </row>
    <row r="216" spans="1:6" x14ac:dyDescent="0.2">
      <c r="A216" s="105" t="s">
        <v>323</v>
      </c>
      <c r="B216">
        <v>0.112</v>
      </c>
      <c r="C216" t="s">
        <v>15</v>
      </c>
      <c r="D216" s="13">
        <f>VLOOKUP(A216,'Costo Materia Prima'!$D$3:$I$236,6,FALSE)*B216</f>
        <v>28.288362666666668</v>
      </c>
      <c r="F216">
        <f t="shared" si="6"/>
        <v>2.24E-2</v>
      </c>
    </row>
    <row r="217" spans="1:6" x14ac:dyDescent="0.2">
      <c r="A217" s="105" t="s">
        <v>132</v>
      </c>
      <c r="B217">
        <v>1</v>
      </c>
      <c r="C217" t="s">
        <v>21</v>
      </c>
      <c r="D217" s="13">
        <f>VLOOKUP(A217,'Costo Materia Prima'!$D$3:$I$236,6,FALSE)*B217</f>
        <v>1.8056666666666665</v>
      </c>
      <c r="F217">
        <f t="shared" si="6"/>
        <v>0.2</v>
      </c>
    </row>
    <row r="218" spans="1:6" x14ac:dyDescent="0.2">
      <c r="A218" s="105" t="s">
        <v>317</v>
      </c>
      <c r="B218">
        <v>0.01</v>
      </c>
      <c r="C218" t="s">
        <v>15</v>
      </c>
      <c r="D218" s="13">
        <f>VLOOKUP(A218,'Costo Materia Prima'!$D$3:$I$236,6,FALSE)*B218</f>
        <v>2.4300000000000002</v>
      </c>
      <c r="F218">
        <f t="shared" si="6"/>
        <v>2E-3</v>
      </c>
    </row>
    <row r="219" spans="1:6" x14ac:dyDescent="0.2">
      <c r="A219" s="105" t="s">
        <v>42</v>
      </c>
      <c r="B219">
        <v>3.0000000000000001E-3</v>
      </c>
      <c r="C219" t="s">
        <v>15</v>
      </c>
      <c r="D219" s="13">
        <f>VLOOKUP(A219,'Costo Materia Prima'!$D$3:$I$236,6,FALSE)*B219</f>
        <v>1.5155322580645161</v>
      </c>
      <c r="F219">
        <f t="shared" si="6"/>
        <v>6.0000000000000006E-4</v>
      </c>
    </row>
    <row r="220" spans="1:6" x14ac:dyDescent="0.2">
      <c r="A220" s="105" t="s">
        <v>61</v>
      </c>
      <c r="B220">
        <v>5.0000000000000001E-3</v>
      </c>
      <c r="C220" t="s">
        <v>15</v>
      </c>
      <c r="D220" s="13">
        <f>VLOOKUP(A220,'Costo Materia Prima'!$D$3:$I$236,6,FALSE)*B220</f>
        <v>0.1771875</v>
      </c>
      <c r="F220">
        <f t="shared" si="6"/>
        <v>1E-3</v>
      </c>
    </row>
    <row r="221" spans="1:6" x14ac:dyDescent="0.2">
      <c r="A221" s="105" t="s">
        <v>222</v>
      </c>
      <c r="B221">
        <v>1.4999999999999999E-2</v>
      </c>
      <c r="C221" t="s">
        <v>15</v>
      </c>
      <c r="D221" s="13">
        <f>VLOOKUP(A221,'Costo Materia Prima'!$D$3:$I$236,6,FALSE)*B221</f>
        <v>0.3216</v>
      </c>
      <c r="F221">
        <f t="shared" si="6"/>
        <v>3.0000000000000001E-3</v>
      </c>
    </row>
    <row r="222" spans="1:6" x14ac:dyDescent="0.2">
      <c r="A222" s="105" t="s">
        <v>502</v>
      </c>
      <c r="D222" s="13">
        <f>SUM(D210:D221)</f>
        <v>64.540000878897857</v>
      </c>
    </row>
    <row r="223" spans="1:6" x14ac:dyDescent="0.2">
      <c r="A223" s="105" t="s">
        <v>540</v>
      </c>
      <c r="D223">
        <v>5</v>
      </c>
    </row>
    <row r="225" spans="1:4" x14ac:dyDescent="0.2">
      <c r="A225" t="s">
        <v>412</v>
      </c>
      <c r="D225" s="126">
        <f>D222/D223</f>
        <v>12.908000175779572</v>
      </c>
    </row>
    <row r="227" spans="1:4" x14ac:dyDescent="0.2">
      <c r="A227" s="336" t="s">
        <v>820</v>
      </c>
      <c r="B227" s="336"/>
      <c r="C227" s="336"/>
      <c r="D227" s="336"/>
    </row>
    <row r="228" spans="1:4" ht="16" thickBot="1" x14ac:dyDescent="0.25">
      <c r="A228" s="158" t="s">
        <v>341</v>
      </c>
      <c r="B228" s="158" t="s">
        <v>4</v>
      </c>
      <c r="C228" s="158" t="s">
        <v>5</v>
      </c>
      <c r="D228" s="158" t="s">
        <v>7</v>
      </c>
    </row>
    <row r="229" spans="1:4" x14ac:dyDescent="0.2">
      <c r="A229" s="105" t="s">
        <v>821</v>
      </c>
      <c r="B229">
        <v>1</v>
      </c>
      <c r="C229" t="s">
        <v>15</v>
      </c>
      <c r="D229" s="13">
        <f>B229*D185</f>
        <v>19.305059458333332</v>
      </c>
    </row>
    <row r="230" spans="1:4" x14ac:dyDescent="0.2">
      <c r="A230" s="105" t="s">
        <v>88</v>
      </c>
      <c r="B230">
        <v>1</v>
      </c>
      <c r="C230" t="s">
        <v>15</v>
      </c>
      <c r="D230" s="13">
        <f>D68</f>
        <v>18.026861791666665</v>
      </c>
    </row>
    <row r="231" spans="1:4" x14ac:dyDescent="0.2">
      <c r="A231" s="105" t="s">
        <v>822</v>
      </c>
      <c r="B231">
        <v>1</v>
      </c>
      <c r="C231" t="s">
        <v>18</v>
      </c>
      <c r="D231" s="13">
        <f>D90</f>
        <v>15.731111458333331</v>
      </c>
    </row>
    <row r="232" spans="1:4" x14ac:dyDescent="0.2">
      <c r="A232" s="105" t="s">
        <v>823</v>
      </c>
      <c r="B232">
        <v>1</v>
      </c>
      <c r="C232" t="s">
        <v>15</v>
      </c>
      <c r="D232" s="13">
        <f>D225</f>
        <v>12.908000175779572</v>
      </c>
    </row>
    <row r="233" spans="1:4" x14ac:dyDescent="0.2">
      <c r="A233" s="105" t="s">
        <v>824</v>
      </c>
      <c r="B233">
        <v>1</v>
      </c>
      <c r="C233" t="s">
        <v>15</v>
      </c>
      <c r="D233" s="13">
        <v>10.47</v>
      </c>
    </row>
    <row r="234" spans="1:4" x14ac:dyDescent="0.2">
      <c r="A234" s="105" t="s">
        <v>825</v>
      </c>
      <c r="B234">
        <v>1</v>
      </c>
      <c r="C234" t="s">
        <v>15</v>
      </c>
      <c r="D234" s="13">
        <f>B234*'Costo Materia Prima'!I170</f>
        <v>4.75</v>
      </c>
    </row>
    <row r="235" spans="1:4" x14ac:dyDescent="0.2">
      <c r="A235" s="105" t="s">
        <v>467</v>
      </c>
      <c r="B235">
        <f>4/1000</f>
        <v>4.0000000000000001E-3</v>
      </c>
      <c r="C235" t="s">
        <v>15</v>
      </c>
      <c r="D235" s="13">
        <f>AVERAGE('Costo Materia Prima'!I176:I179)*B235*4</f>
        <v>0</v>
      </c>
    </row>
    <row r="236" spans="1:4" x14ac:dyDescent="0.2">
      <c r="A236" s="105" t="s">
        <v>421</v>
      </c>
      <c r="B236">
        <f>2/1000</f>
        <v>2E-3</v>
      </c>
      <c r="C236" t="s">
        <v>15</v>
      </c>
      <c r="D236" s="13">
        <f>B236*'Insumos 1'!G64*4</f>
        <v>0.87055587018821323</v>
      </c>
    </row>
    <row r="237" spans="1:4" x14ac:dyDescent="0.2">
      <c r="A237" s="105" t="s">
        <v>502</v>
      </c>
      <c r="D237" s="13">
        <f>SUM(D229:D236)</f>
        <v>82.061588754301113</v>
      </c>
    </row>
    <row r="238" spans="1:4" x14ac:dyDescent="0.2">
      <c r="A238" s="105" t="s">
        <v>504</v>
      </c>
      <c r="C238">
        <v>0.55000000000000004</v>
      </c>
      <c r="D238" s="5">
        <f>D237/(1-C238)</f>
        <v>182.35908612066916</v>
      </c>
    </row>
    <row r="239" spans="1:4" x14ac:dyDescent="0.2">
      <c r="A239" s="105"/>
      <c r="D239" s="26">
        <f>D237/D238</f>
        <v>0.44999999999999996</v>
      </c>
    </row>
    <row r="240" spans="1:4" x14ac:dyDescent="0.2">
      <c r="A240" s="105"/>
      <c r="D240" s="13">
        <v>198</v>
      </c>
    </row>
  </sheetData>
  <mergeCells count="9">
    <mergeCell ref="A227:D227"/>
    <mergeCell ref="A208:D208"/>
    <mergeCell ref="A21:D21"/>
    <mergeCell ref="A187:D187"/>
    <mergeCell ref="A48:D48"/>
    <mergeCell ref="A71:D71"/>
    <mergeCell ref="A103:D103"/>
    <mergeCell ref="A135:D135"/>
    <mergeCell ref="A169:D169"/>
  </mergeCells>
  <pageMargins left="0.7" right="0.7" top="0.75" bottom="0.75" header="0.3" footer="0.3"/>
  <pageSetup orientation="portrait" horizontalDpi="4294967292" verticalDpi="0" r:id="rId1"/>
  <ignoredErrors>
    <ignoredError sqref="D237" evalError="1"/>
  </ignoredErrors>
  <extLst>
    <ext xmlns:x14="http://schemas.microsoft.com/office/spreadsheetml/2009/9/main" uri="{CCE6A557-97BC-4b89-ADB6-D9C93CAAB3DF}">
      <x14:dataValidations xmlns:xm="http://schemas.microsoft.com/office/excel/2006/main" disablePrompts="1" count="2">
        <x14:dataValidation type="list" showDropDown="1" showInputMessage="1" showErrorMessage="1" xr:uid="{74206733-5810-4DDA-8D2A-59A3BAADF94C}">
          <x14:formula1>
            <xm:f>'Costo Materia Prima'!$D$3:$D$164</xm:f>
          </x14:formula1>
          <xm:sqref>A23:A28</xm:sqref>
        </x14:dataValidation>
        <x14:dataValidation type="list" allowBlank="1" showInputMessage="1" showErrorMessage="1" xr:uid="{90A059D2-3B7A-4B80-B9BC-504C2C019C79}">
          <x14:formula1>
            <xm:f>'Costo Materia Prima'!$D$3:$D$162</xm:f>
          </x14:formula1>
          <xm:sqref>A32:A33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D2BF86-7FBA-0049-A23D-0B214A1F583B}">
  <dimension ref="A2:F24"/>
  <sheetViews>
    <sheetView workbookViewId="0">
      <selection activeCell="B4" sqref="B4:D12"/>
    </sheetView>
  </sheetViews>
  <sheetFormatPr baseColWidth="10" defaultColWidth="11.5" defaultRowHeight="15" x14ac:dyDescent="0.2"/>
  <cols>
    <col min="1" max="1" width="21.1640625" bestFit="1" customWidth="1"/>
    <col min="2" max="2" width="8" bestFit="1" customWidth="1"/>
  </cols>
  <sheetData>
    <row r="2" spans="1:6" x14ac:dyDescent="0.2">
      <c r="A2" s="310" t="s">
        <v>309</v>
      </c>
      <c r="B2" s="310"/>
      <c r="C2" s="310"/>
      <c r="D2" s="310"/>
    </row>
    <row r="3" spans="1:6" ht="16" thickBot="1" x14ac:dyDescent="0.25">
      <c r="A3" s="158" t="s">
        <v>341</v>
      </c>
      <c r="B3" s="158" t="s">
        <v>4</v>
      </c>
      <c r="C3" s="158" t="s">
        <v>5</v>
      </c>
      <c r="D3" s="158" t="s">
        <v>7</v>
      </c>
    </row>
    <row r="4" spans="1:6" x14ac:dyDescent="0.2">
      <c r="A4" s="105" t="s">
        <v>230</v>
      </c>
      <c r="B4">
        <v>0.5</v>
      </c>
      <c r="C4" s="3" t="s">
        <v>15</v>
      </c>
      <c r="D4" s="13">
        <f>VLOOKUP(A4,'Costo Materia Prima'!$D$3:$I$236,6,FALSE)*B4</f>
        <v>9.25</v>
      </c>
      <c r="F4" s="14">
        <f>B4/10</f>
        <v>0.05</v>
      </c>
    </row>
    <row r="5" spans="1:6" x14ac:dyDescent="0.2">
      <c r="A5" s="105" t="s">
        <v>303</v>
      </c>
      <c r="B5">
        <f>3/1000</f>
        <v>3.0000000000000001E-3</v>
      </c>
      <c r="C5" s="3" t="s">
        <v>15</v>
      </c>
      <c r="D5" s="13">
        <f>VLOOKUP(A5,'Costo Materia Prima'!$D$3:$I$236,6,FALSE)*B5</f>
        <v>4.4125000000000004E-2</v>
      </c>
      <c r="F5" s="14">
        <f t="shared" ref="F5:F12" si="0">B5/10</f>
        <v>3.0000000000000003E-4</v>
      </c>
    </row>
    <row r="6" spans="1:6" x14ac:dyDescent="0.2">
      <c r="A6" s="105" t="s">
        <v>132</v>
      </c>
      <c r="B6">
        <v>3</v>
      </c>
      <c r="C6" s="3" t="s">
        <v>21</v>
      </c>
      <c r="D6" s="13">
        <f>VLOOKUP(A6,'Costo Materia Prima'!$D$3:$I$236,6,FALSE)*B6</f>
        <v>5.4169999999999998</v>
      </c>
      <c r="F6" s="14">
        <f t="shared" si="0"/>
        <v>0.3</v>
      </c>
    </row>
    <row r="7" spans="1:6" x14ac:dyDescent="0.2">
      <c r="A7" s="105" t="s">
        <v>721</v>
      </c>
      <c r="B7">
        <v>0.16</v>
      </c>
      <c r="C7" s="3" t="s">
        <v>18</v>
      </c>
      <c r="D7" s="13">
        <f>VLOOKUP(A7,'Costo Materia Prima'!$D$3:$I$236,6,FALSE)*B7</f>
        <v>3.1280000000000001</v>
      </c>
      <c r="F7" s="14">
        <f t="shared" si="0"/>
        <v>1.6E-2</v>
      </c>
    </row>
    <row r="8" spans="1:6" x14ac:dyDescent="0.2">
      <c r="A8" s="105" t="s">
        <v>722</v>
      </c>
      <c r="B8">
        <v>0.15</v>
      </c>
      <c r="C8" s="3" t="s">
        <v>15</v>
      </c>
      <c r="D8" s="13">
        <f>VLOOKUP(A8,'Costo Materia Prima'!$D$3:$I$236,6,FALSE)*B8</f>
        <v>3.0599999999999996</v>
      </c>
      <c r="F8" s="14">
        <f t="shared" si="0"/>
        <v>1.4999999999999999E-2</v>
      </c>
    </row>
    <row r="9" spans="1:6" x14ac:dyDescent="0.2">
      <c r="A9" s="105" t="s">
        <v>313</v>
      </c>
      <c r="B9">
        <v>0.15</v>
      </c>
      <c r="C9" s="3" t="s">
        <v>15</v>
      </c>
      <c r="D9" s="13">
        <f>VLOOKUP(A9,'Costo Materia Prima'!$D$3:$I$236,6,FALSE)*B9</f>
        <v>26.249879999999994</v>
      </c>
      <c r="F9" s="14">
        <f t="shared" si="0"/>
        <v>1.4999999999999999E-2</v>
      </c>
    </row>
    <row r="10" spans="1:6" x14ac:dyDescent="0.2">
      <c r="A10" s="105" t="s">
        <v>284</v>
      </c>
      <c r="B10">
        <v>0.1</v>
      </c>
      <c r="C10" s="3" t="s">
        <v>15</v>
      </c>
      <c r="D10" s="13">
        <f>VLOOKUP(A10,'Costo Materia Prima'!$D$3:$I$236,6,FALSE)*B10</f>
        <v>2.5500000000000003</v>
      </c>
      <c r="F10" s="14">
        <f t="shared" si="0"/>
        <v>0.01</v>
      </c>
    </row>
    <row r="11" spans="1:6" x14ac:dyDescent="0.2">
      <c r="A11" s="105" t="s">
        <v>698</v>
      </c>
      <c r="B11">
        <f>11/1000</f>
        <v>1.0999999999999999E-2</v>
      </c>
      <c r="C11" s="3" t="s">
        <v>15</v>
      </c>
      <c r="D11" s="13">
        <f>VLOOKUP(A11,'Costo Materia Prima'!$D$3:$I$236,6,FALSE)*B11</f>
        <v>3.3439999999999999</v>
      </c>
      <c r="F11" s="14">
        <f t="shared" si="0"/>
        <v>1.0999999999999998E-3</v>
      </c>
    </row>
    <row r="12" spans="1:6" x14ac:dyDescent="0.2">
      <c r="A12" s="105" t="s">
        <v>723</v>
      </c>
      <c r="B12">
        <f>15/1000</f>
        <v>1.4999999999999999E-2</v>
      </c>
      <c r="C12" s="3" t="s">
        <v>18</v>
      </c>
      <c r="D12" s="13">
        <f>VLOOKUP(A12,'Costo Materia Prima'!$D$3:$I$236,6,FALSE)*B12</f>
        <v>14</v>
      </c>
      <c r="F12" s="14">
        <f t="shared" si="0"/>
        <v>1.5E-3</v>
      </c>
    </row>
    <row r="13" spans="1:6" x14ac:dyDescent="0.2">
      <c r="A13" s="105"/>
      <c r="C13" s="3"/>
      <c r="D13" s="13"/>
    </row>
    <row r="14" spans="1:6" x14ac:dyDescent="0.2">
      <c r="A14" s="105"/>
      <c r="C14" s="3"/>
      <c r="D14" s="13"/>
    </row>
    <row r="15" spans="1:6" x14ac:dyDescent="0.2">
      <c r="A15" s="105"/>
      <c r="C15" s="3"/>
      <c r="D15" s="13"/>
    </row>
    <row r="16" spans="1:6" x14ac:dyDescent="0.2">
      <c r="A16" s="105"/>
      <c r="C16" s="3"/>
      <c r="D16" s="13"/>
    </row>
    <row r="17" spans="1:4" x14ac:dyDescent="0.2">
      <c r="A17" s="105"/>
      <c r="D17" s="13"/>
    </row>
    <row r="18" spans="1:4" x14ac:dyDescent="0.2">
      <c r="A18" s="105" t="s">
        <v>442</v>
      </c>
      <c r="D18" s="13">
        <f>SUM(D4:D12)</f>
        <v>67.043004999999994</v>
      </c>
    </row>
    <row r="19" spans="1:4" x14ac:dyDescent="0.2">
      <c r="A19" s="105"/>
      <c r="D19" s="13"/>
    </row>
    <row r="20" spans="1:4" x14ac:dyDescent="0.2">
      <c r="A20" s="105" t="s">
        <v>439</v>
      </c>
      <c r="C20">
        <v>10</v>
      </c>
      <c r="D20" s="13">
        <f>D18/C20</f>
        <v>6.7043004999999996</v>
      </c>
    </row>
    <row r="22" spans="1:4" x14ac:dyDescent="0.2">
      <c r="A22" t="s">
        <v>443</v>
      </c>
      <c r="D22" s="5">
        <f>'Insumos 3'!AF9</f>
        <v>9.6525333333333343</v>
      </c>
    </row>
    <row r="24" spans="1:4" x14ac:dyDescent="0.2">
      <c r="A24" t="s">
        <v>438</v>
      </c>
      <c r="D24" s="13">
        <f>SUM(D20+D22)</f>
        <v>16.356833833333333</v>
      </c>
    </row>
  </sheetData>
  <mergeCells count="1">
    <mergeCell ref="A2:D2"/>
  </mergeCells>
  <pageMargins left="0.7" right="0.7" top="0.75" bottom="0.75" header="0.3" footer="0.3"/>
  <pageSetup orientation="portrait" horizontalDpi="0" verticalDpi="0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44249EFA-67FF-C342-BA2D-E6CA931552F2}">
          <x14:formula1>
            <xm:f>'Costo Materia Prima'!$D$3:$D$187</xm:f>
          </x14:formula1>
          <xm:sqref>A4:A16</xm:sqref>
        </x14:dataValidation>
      </x14:dataValidation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D268E8-214F-6641-8752-12F5E068B4D6}">
  <sheetPr codeName="Hoja26"/>
  <dimension ref="A2:G30"/>
  <sheetViews>
    <sheetView workbookViewId="0">
      <selection activeCell="C29" sqref="C29"/>
    </sheetView>
  </sheetViews>
  <sheetFormatPr baseColWidth="10" defaultColWidth="11.5" defaultRowHeight="15" x14ac:dyDescent="0.2"/>
  <cols>
    <col min="1" max="1" width="21.1640625" bestFit="1" customWidth="1"/>
    <col min="2" max="2" width="8" bestFit="1" customWidth="1"/>
  </cols>
  <sheetData>
    <row r="2" spans="1:7" x14ac:dyDescent="0.2">
      <c r="A2" s="310" t="s">
        <v>441</v>
      </c>
      <c r="B2" s="310"/>
      <c r="C2" s="310"/>
      <c r="D2" s="310"/>
    </row>
    <row r="3" spans="1:7" ht="16" thickBot="1" x14ac:dyDescent="0.25">
      <c r="A3" s="158" t="s">
        <v>341</v>
      </c>
      <c r="B3" s="158" t="s">
        <v>4</v>
      </c>
      <c r="C3" s="158" t="s">
        <v>5</v>
      </c>
      <c r="D3" s="158" t="s">
        <v>7</v>
      </c>
    </row>
    <row r="4" spans="1:7" x14ac:dyDescent="0.2">
      <c r="A4" s="105" t="s">
        <v>132</v>
      </c>
      <c r="B4">
        <v>2</v>
      </c>
      <c r="C4" s="3" t="s">
        <v>15</v>
      </c>
      <c r="D4" s="13">
        <f>VLOOKUP(A4,'Costo Materia Prima'!$D$3:$I$236,6,FALSE)*B4</f>
        <v>3.6113333333333331</v>
      </c>
      <c r="F4" s="329" t="s">
        <v>436</v>
      </c>
      <c r="G4" s="329"/>
    </row>
    <row r="5" spans="1:7" x14ac:dyDescent="0.2">
      <c r="A5" s="105" t="s">
        <v>13</v>
      </c>
      <c r="B5">
        <v>0.375</v>
      </c>
      <c r="C5" s="3" t="s">
        <v>15</v>
      </c>
      <c r="D5" s="13">
        <f>VLOOKUP(A5,'Costo Materia Prima'!$D$3:$I$236,6,FALSE)*B5</f>
        <v>7.6499999999999995</v>
      </c>
    </row>
    <row r="6" spans="1:7" x14ac:dyDescent="0.2">
      <c r="A6" s="105" t="s">
        <v>230</v>
      </c>
      <c r="B6">
        <v>0.33500000000000002</v>
      </c>
      <c r="C6" s="3" t="s">
        <v>21</v>
      </c>
      <c r="D6" s="13">
        <f>VLOOKUP(A6,'Costo Materia Prima'!$D$3:$I$236,6,FALSE)*B6</f>
        <v>6.1975000000000007</v>
      </c>
    </row>
    <row r="7" spans="1:7" x14ac:dyDescent="0.2">
      <c r="A7" s="105" t="s">
        <v>65</v>
      </c>
      <c r="B7">
        <v>1E-3</v>
      </c>
      <c r="C7" s="3" t="s">
        <v>15</v>
      </c>
      <c r="D7" s="13">
        <f>VLOOKUP(A7,'Costo Materia Prima'!$D$3:$I$236,6,FALSE)*B7</f>
        <v>3.8399999999999997E-2</v>
      </c>
    </row>
    <row r="8" spans="1:7" x14ac:dyDescent="0.2">
      <c r="A8" s="105" t="s">
        <v>303</v>
      </c>
      <c r="B8">
        <v>1.6666666666666668E-3</v>
      </c>
      <c r="C8" s="3" t="s">
        <v>15</v>
      </c>
      <c r="D8" s="13">
        <f>VLOOKUP(A8,'Costo Materia Prima'!$D$3:$I$236,6,FALSE)*B8</f>
        <v>2.4513888888888891E-2</v>
      </c>
    </row>
    <row r="9" spans="1:7" x14ac:dyDescent="0.2">
      <c r="A9" s="105" t="s">
        <v>105</v>
      </c>
      <c r="B9">
        <v>1</v>
      </c>
      <c r="C9" s="3" t="s">
        <v>15</v>
      </c>
      <c r="D9" s="13">
        <f>VLOOKUP(A9,'Costo Materia Prima'!$D$3:$I$236,6,FALSE)*B9</f>
        <v>67.249019607843152</v>
      </c>
    </row>
    <row r="10" spans="1:7" x14ac:dyDescent="0.2">
      <c r="A10" s="105" t="s">
        <v>82</v>
      </c>
      <c r="B10">
        <v>0.05</v>
      </c>
      <c r="C10" s="3" t="s">
        <v>15</v>
      </c>
      <c r="D10" s="13">
        <f>VLOOKUP(A10,'Costo Materia Prima'!$D$3:$I$236,6,FALSE)*B10</f>
        <v>10.950000000000001</v>
      </c>
    </row>
    <row r="11" spans="1:7" x14ac:dyDescent="0.2">
      <c r="A11" s="105" t="s">
        <v>124</v>
      </c>
      <c r="B11">
        <v>6.5000000000000002E-2</v>
      </c>
      <c r="C11" s="3" t="s">
        <v>15</v>
      </c>
      <c r="D11" s="13">
        <f>VLOOKUP(A11,'Costo Materia Prima'!$D$3:$I$236,6,FALSE)*B11</f>
        <v>3.367</v>
      </c>
    </row>
    <row r="12" spans="1:7" x14ac:dyDescent="0.2">
      <c r="A12" s="105" t="s">
        <v>187</v>
      </c>
      <c r="B12">
        <v>0.25</v>
      </c>
      <c r="C12" s="3" t="s">
        <v>18</v>
      </c>
      <c r="D12" s="13">
        <f>VLOOKUP(A12,'Costo Materia Prima'!$D$3:$I$236,6,FALSE)*B12</f>
        <v>14.296749999999999</v>
      </c>
    </row>
    <row r="13" spans="1:7" x14ac:dyDescent="0.2">
      <c r="A13" s="105" t="s">
        <v>13</v>
      </c>
      <c r="B13">
        <v>0.16</v>
      </c>
      <c r="C13" s="3" t="s">
        <v>15</v>
      </c>
      <c r="D13" s="13">
        <f>VLOOKUP(A13,'Costo Materia Prima'!$D$3:$I$236,6,FALSE)*B13</f>
        <v>3.2639999999999998</v>
      </c>
    </row>
    <row r="14" spans="1:7" x14ac:dyDescent="0.2">
      <c r="A14" s="105" t="s">
        <v>313</v>
      </c>
      <c r="B14">
        <v>4.4999999999999998E-2</v>
      </c>
      <c r="C14" s="3" t="s">
        <v>15</v>
      </c>
      <c r="D14" s="13">
        <f>VLOOKUP(A14,'Costo Materia Prima'!$D$3:$I$236,6,FALSE)*B14</f>
        <v>7.8749639999999985</v>
      </c>
    </row>
    <row r="15" spans="1:7" x14ac:dyDescent="0.2">
      <c r="A15" s="105"/>
      <c r="C15" s="3"/>
      <c r="D15" s="13"/>
    </row>
    <row r="16" spans="1:7" x14ac:dyDescent="0.2">
      <c r="A16" s="105"/>
      <c r="C16" s="3"/>
      <c r="D16" s="13"/>
    </row>
    <row r="17" spans="1:4" x14ac:dyDescent="0.2">
      <c r="A17" s="105"/>
      <c r="D17" s="13"/>
    </row>
    <row r="18" spans="1:4" x14ac:dyDescent="0.2">
      <c r="A18" s="105" t="s">
        <v>442</v>
      </c>
      <c r="D18" s="13">
        <f>SUM(D4:D14)</f>
        <v>124.52348083006538</v>
      </c>
    </row>
    <row r="19" spans="1:4" x14ac:dyDescent="0.2">
      <c r="A19" s="105"/>
      <c r="D19" s="13"/>
    </row>
    <row r="20" spans="1:4" x14ac:dyDescent="0.2">
      <c r="A20" s="105" t="s">
        <v>439</v>
      </c>
      <c r="C20">
        <v>6</v>
      </c>
      <c r="D20" s="13">
        <f>D18/C20</f>
        <v>20.753913471677564</v>
      </c>
    </row>
    <row r="22" spans="1:4" x14ac:dyDescent="0.2">
      <c r="A22" t="s">
        <v>443</v>
      </c>
      <c r="D22" s="5">
        <f>'Insumos 3'!AF9</f>
        <v>9.6525333333333343</v>
      </c>
    </row>
    <row r="25" spans="1:4" x14ac:dyDescent="0.2">
      <c r="A25" t="s">
        <v>438</v>
      </c>
      <c r="D25" s="13">
        <f>SUM(D20+D22)</f>
        <v>30.406446805010898</v>
      </c>
    </row>
    <row r="27" spans="1:4" x14ac:dyDescent="0.2">
      <c r="D27">
        <f>'Insumos 3'!AF9</f>
        <v>9.6525333333333343</v>
      </c>
    </row>
    <row r="28" spans="1:4" x14ac:dyDescent="0.2">
      <c r="C28">
        <v>0.65</v>
      </c>
      <c r="D28" s="13">
        <f>(D18+D27)/(1-C28)</f>
        <v>383.36004046685349</v>
      </c>
    </row>
    <row r="30" spans="1:4" x14ac:dyDescent="0.2">
      <c r="D30">
        <f>(D18+D27)/D28</f>
        <v>0.35</v>
      </c>
    </row>
  </sheetData>
  <mergeCells count="2">
    <mergeCell ref="A2:D2"/>
    <mergeCell ref="F4:G4"/>
  </mergeCells>
  <pageMargins left="0.7" right="0.7" top="0.75" bottom="0.75" header="0.3" footer="0.3"/>
  <pageSetup orientation="portrait" horizontalDpi="0" verticalDpi="0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9675F631-15D4-784A-8F17-1ED0C851C1DD}">
          <x14:formula1>
            <xm:f>'Costo Materia Prima'!$D$3:$D$187</xm:f>
          </x14:formula1>
          <xm:sqref>A4:A16</xm:sqref>
        </x14:dataValidation>
      </x14:dataValidations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72CA87-9F68-4344-9932-0CD2B0A5C7C2}">
  <sheetPr codeName="Hoja7"/>
  <dimension ref="A2:N27"/>
  <sheetViews>
    <sheetView workbookViewId="0">
      <selection activeCell="F12" sqref="F12"/>
    </sheetView>
  </sheetViews>
  <sheetFormatPr baseColWidth="10" defaultColWidth="9.1640625" defaultRowHeight="15" x14ac:dyDescent="0.2"/>
  <cols>
    <col min="1" max="1" width="23.6640625" bestFit="1" customWidth="1"/>
    <col min="2" max="2" width="12.5" customWidth="1"/>
    <col min="3" max="3" width="9.83203125" bestFit="1" customWidth="1"/>
    <col min="4" max="4" width="9.6640625" bestFit="1" customWidth="1"/>
    <col min="7" max="7" width="13" bestFit="1" customWidth="1"/>
    <col min="8" max="8" width="13" customWidth="1"/>
    <col min="10" max="10" width="16.5" bestFit="1" customWidth="1"/>
    <col min="11" max="11" width="8.6640625" bestFit="1" customWidth="1"/>
    <col min="12" max="12" width="16.33203125" bestFit="1" customWidth="1"/>
    <col min="13" max="13" width="13.83203125" bestFit="1" customWidth="1"/>
    <col min="14" max="14" width="18" bestFit="1" customWidth="1"/>
  </cols>
  <sheetData>
    <row r="2" spans="1:14" x14ac:dyDescent="0.2">
      <c r="C2" s="310" t="s">
        <v>444</v>
      </c>
      <c r="D2" s="310"/>
      <c r="E2" s="310"/>
      <c r="F2" s="310"/>
      <c r="G2" s="310"/>
      <c r="H2" s="310"/>
    </row>
    <row r="3" spans="1:14" x14ac:dyDescent="0.2">
      <c r="A3" s="20" t="s">
        <v>445</v>
      </c>
      <c r="B3" s="20"/>
      <c r="C3" s="20" t="s">
        <v>413</v>
      </c>
      <c r="D3" s="20" t="s">
        <v>375</v>
      </c>
      <c r="E3" s="20" t="s">
        <v>370</v>
      </c>
      <c r="F3" s="20" t="s">
        <v>371</v>
      </c>
      <c r="G3" s="20" t="s">
        <v>372</v>
      </c>
      <c r="H3" s="20" t="s">
        <v>373</v>
      </c>
      <c r="J3" s="338" t="s">
        <v>446</v>
      </c>
      <c r="K3" s="338"/>
      <c r="L3" s="338"/>
      <c r="M3" s="338"/>
      <c r="N3" s="338"/>
    </row>
    <row r="4" spans="1:14" x14ac:dyDescent="0.2">
      <c r="A4" t="s">
        <v>447</v>
      </c>
      <c r="E4" s="32">
        <f>'Insumos 2'!T184</f>
        <v>0</v>
      </c>
      <c r="F4" s="32">
        <f>'Insumos 2'!U184</f>
        <v>167.41936738906088</v>
      </c>
      <c r="G4" s="32">
        <f>'Insumos 2'!V184</f>
        <v>0</v>
      </c>
      <c r="H4" s="32">
        <f>'Insumos 2'!W184</f>
        <v>0</v>
      </c>
      <c r="J4" s="40" t="s">
        <v>369</v>
      </c>
      <c r="K4" s="30" t="s">
        <v>371</v>
      </c>
      <c r="L4" s="41" t="s">
        <v>372</v>
      </c>
      <c r="M4" s="42" t="s">
        <v>373</v>
      </c>
      <c r="N4" s="30" t="s">
        <v>448</v>
      </c>
    </row>
    <row r="5" spans="1:14" x14ac:dyDescent="0.2">
      <c r="A5" t="s">
        <v>449</v>
      </c>
      <c r="E5" s="32">
        <v>0</v>
      </c>
      <c r="F5" s="32">
        <f>L9</f>
        <v>46.886881042834496</v>
      </c>
      <c r="G5" s="32">
        <f t="shared" ref="G5:H5" si="0">M9</f>
        <v>0</v>
      </c>
      <c r="H5" s="32">
        <f t="shared" si="0"/>
        <v>0</v>
      </c>
      <c r="J5" s="54" t="s">
        <v>450</v>
      </c>
      <c r="K5" s="43">
        <v>0</v>
      </c>
      <c r="L5" s="44">
        <f>0.12</f>
        <v>0.12</v>
      </c>
      <c r="M5" s="45">
        <v>0</v>
      </c>
      <c r="N5" s="43">
        <v>0</v>
      </c>
    </row>
    <row r="6" spans="1:14" x14ac:dyDescent="0.2">
      <c r="A6" t="s">
        <v>451</v>
      </c>
      <c r="E6" s="32">
        <v>0</v>
      </c>
      <c r="F6" s="32">
        <f>L15</f>
        <v>15.7858125</v>
      </c>
      <c r="G6" s="32">
        <f t="shared" ref="G6:H6" si="1">M15</f>
        <v>0</v>
      </c>
      <c r="H6" s="32">
        <f t="shared" si="1"/>
        <v>0</v>
      </c>
      <c r="J6" s="29" t="s">
        <v>452</v>
      </c>
      <c r="K6" s="60">
        <v>0</v>
      </c>
      <c r="L6" s="47">
        <f>0.24*2</f>
        <v>0.48</v>
      </c>
      <c r="M6" s="48">
        <v>0</v>
      </c>
      <c r="N6" s="55">
        <v>0</v>
      </c>
    </row>
    <row r="7" spans="1:14" x14ac:dyDescent="0.2">
      <c r="A7" t="s">
        <v>87</v>
      </c>
      <c r="E7" s="32">
        <v>0</v>
      </c>
      <c r="F7" s="32">
        <f>L21</f>
        <v>4.8723999999999998</v>
      </c>
      <c r="G7" s="32">
        <f t="shared" ref="G7:H7" si="2">M21</f>
        <v>0</v>
      </c>
      <c r="H7" s="32">
        <f t="shared" si="2"/>
        <v>0</v>
      </c>
      <c r="J7" s="29" t="s">
        <v>453</v>
      </c>
      <c r="K7" s="60"/>
      <c r="L7" s="47"/>
      <c r="M7" s="48"/>
      <c r="N7" s="55"/>
    </row>
    <row r="8" spans="1:14" x14ac:dyDescent="0.2">
      <c r="A8" t="s">
        <v>88</v>
      </c>
      <c r="F8" s="32">
        <f>L27</f>
        <v>2.6434800000000003</v>
      </c>
      <c r="J8" s="29" t="s">
        <v>438</v>
      </c>
      <c r="K8" s="60">
        <f>SUM(K5:K7)</f>
        <v>0</v>
      </c>
      <c r="L8" s="46">
        <f t="shared" ref="L8:N8" si="3">SUM(L5:L7)</f>
        <v>0.6</v>
      </c>
      <c r="M8" s="46">
        <f t="shared" si="3"/>
        <v>0</v>
      </c>
      <c r="N8" s="46">
        <f t="shared" si="3"/>
        <v>0</v>
      </c>
    </row>
    <row r="9" spans="1:14" ht="16" thickBot="1" x14ac:dyDescent="0.25">
      <c r="A9" s="98" t="s">
        <v>444</v>
      </c>
      <c r="B9" s="98"/>
      <c r="C9" s="99">
        <f>'Insumos 3'!S8</f>
        <v>2.80714</v>
      </c>
      <c r="D9" s="98"/>
      <c r="E9" s="100">
        <v>0</v>
      </c>
      <c r="F9" s="100">
        <f>'Insumos 3'!K8</f>
        <v>13.628489999999999</v>
      </c>
      <c r="G9" s="100">
        <f>'Insumos 3'!G8</f>
        <v>15.598399999999998</v>
      </c>
      <c r="H9" s="100">
        <f>'Insumos 3'!C7</f>
        <v>28.574509999999997</v>
      </c>
      <c r="J9" s="36" t="s">
        <v>454</v>
      </c>
      <c r="K9" s="62">
        <f>K8*'Insumos 1'!$G$102</f>
        <v>0</v>
      </c>
      <c r="L9" s="62">
        <f>L8*'Insumos 1'!$G$102</f>
        <v>46.886881042834496</v>
      </c>
      <c r="M9" s="62">
        <f>M8*'Insumos 1'!$G$102</f>
        <v>0</v>
      </c>
      <c r="N9" s="62">
        <f>N8*'Insumos 1'!$G$102</f>
        <v>0</v>
      </c>
    </row>
    <row r="10" spans="1:14" ht="16" thickTop="1" x14ac:dyDescent="0.2">
      <c r="A10" t="s">
        <v>455</v>
      </c>
      <c r="C10" s="127">
        <f>SUM(C4:C9)+(F10/10)</f>
        <v>27.930783093189536</v>
      </c>
      <c r="D10" s="127">
        <f>SUM(D4:D9)</f>
        <v>0</v>
      </c>
      <c r="E10" s="127">
        <f>SUM(E4:E9)</f>
        <v>0</v>
      </c>
      <c r="F10" s="127">
        <f>SUM(F4:F9)</f>
        <v>251.23643093189537</v>
      </c>
      <c r="G10" s="127">
        <f>SUM(G4:G9)</f>
        <v>15.598399999999998</v>
      </c>
      <c r="H10" s="127">
        <f>SUM(H4:H9)</f>
        <v>28.574509999999997</v>
      </c>
      <c r="J10" s="338" t="s">
        <v>456</v>
      </c>
      <c r="K10" s="338"/>
      <c r="L10" s="338"/>
      <c r="M10" s="338"/>
      <c r="N10" s="338"/>
    </row>
    <row r="11" spans="1:14" x14ac:dyDescent="0.2">
      <c r="J11" s="40" t="s">
        <v>369</v>
      </c>
      <c r="K11" s="30" t="s">
        <v>370</v>
      </c>
      <c r="L11" s="41" t="s">
        <v>371</v>
      </c>
      <c r="M11" s="42" t="s">
        <v>373</v>
      </c>
      <c r="N11" s="30" t="s">
        <v>448</v>
      </c>
    </row>
    <row r="12" spans="1:14" x14ac:dyDescent="0.2">
      <c r="J12" s="54" t="s">
        <v>457</v>
      </c>
      <c r="K12" s="43">
        <v>0</v>
      </c>
      <c r="L12" s="44">
        <v>0.05</v>
      </c>
      <c r="M12" s="45">
        <v>0</v>
      </c>
      <c r="N12" s="43">
        <v>0</v>
      </c>
    </row>
    <row r="13" spans="1:14" x14ac:dyDescent="0.2">
      <c r="J13" s="33" t="s">
        <v>458</v>
      </c>
      <c r="K13" s="46">
        <v>0</v>
      </c>
      <c r="L13" s="56">
        <v>0</v>
      </c>
      <c r="M13" s="56">
        <v>0</v>
      </c>
      <c r="N13" s="56">
        <v>0</v>
      </c>
    </row>
    <row r="14" spans="1:14" x14ac:dyDescent="0.2">
      <c r="J14" s="30" t="s">
        <v>456</v>
      </c>
      <c r="K14" s="56">
        <f>SUM(K12:K13)</f>
        <v>0</v>
      </c>
      <c r="L14" s="56">
        <f t="shared" ref="L14:N14" si="4">SUM(L12:L13)</f>
        <v>0.05</v>
      </c>
      <c r="M14" s="56">
        <f t="shared" si="4"/>
        <v>0</v>
      </c>
      <c r="N14" s="56">
        <f t="shared" si="4"/>
        <v>0</v>
      </c>
    </row>
    <row r="15" spans="1:14" x14ac:dyDescent="0.2">
      <c r="J15" s="30" t="s">
        <v>438</v>
      </c>
      <c r="K15" s="58">
        <f>K14*'Costo Materia Prima'!$I$39</f>
        <v>0</v>
      </c>
      <c r="L15" s="58">
        <f>L14*'Costo Materia Prima'!$I$39</f>
        <v>15.7858125</v>
      </c>
      <c r="M15" s="58">
        <f>M14*'Costo Materia Prima'!$I$39</f>
        <v>0</v>
      </c>
      <c r="N15" s="58">
        <f>N14*'Costo Materia Prima'!$I$39</f>
        <v>0</v>
      </c>
    </row>
    <row r="16" spans="1:14" x14ac:dyDescent="0.2">
      <c r="J16" s="338" t="s">
        <v>87</v>
      </c>
      <c r="K16" s="338"/>
      <c r="L16" s="338"/>
      <c r="M16" s="338"/>
      <c r="N16" s="338"/>
    </row>
    <row r="17" spans="10:14" x14ac:dyDescent="0.2">
      <c r="J17" s="40" t="s">
        <v>369</v>
      </c>
      <c r="K17" s="30" t="s">
        <v>370</v>
      </c>
      <c r="L17" s="41" t="s">
        <v>371</v>
      </c>
      <c r="M17" s="42" t="s">
        <v>373</v>
      </c>
      <c r="N17" s="30" t="s">
        <v>448</v>
      </c>
    </row>
    <row r="18" spans="10:14" x14ac:dyDescent="0.2">
      <c r="J18" s="54" t="s">
        <v>457</v>
      </c>
      <c r="K18" s="43">
        <v>0</v>
      </c>
      <c r="L18" s="44">
        <v>1.4999999999999999E-2</v>
      </c>
      <c r="M18" s="45">
        <v>0</v>
      </c>
      <c r="N18" s="43"/>
    </row>
    <row r="19" spans="10:14" x14ac:dyDescent="0.2">
      <c r="J19" s="33" t="s">
        <v>458</v>
      </c>
      <c r="K19" s="46">
        <v>0</v>
      </c>
      <c r="L19" s="56">
        <v>0</v>
      </c>
      <c r="M19" s="56">
        <v>0</v>
      </c>
      <c r="N19" s="56"/>
    </row>
    <row r="20" spans="10:14" x14ac:dyDescent="0.2">
      <c r="J20" s="30" t="s">
        <v>459</v>
      </c>
      <c r="K20" s="56">
        <f>SUM(K18:K19)</f>
        <v>0</v>
      </c>
      <c r="L20" s="56">
        <f>SUM(L18:L19)</f>
        <v>1.4999999999999999E-2</v>
      </c>
      <c r="M20" s="56">
        <f>SUM(M18:M19)</f>
        <v>0</v>
      </c>
      <c r="N20" s="56">
        <f>SUM(N18:N19)</f>
        <v>0</v>
      </c>
    </row>
    <row r="21" spans="10:14" x14ac:dyDescent="0.2">
      <c r="J21" s="30" t="s">
        <v>438</v>
      </c>
      <c r="K21" s="59">
        <f>K20*'Costo Materia Prima'!$I$37</f>
        <v>0</v>
      </c>
      <c r="L21" s="59">
        <f>L20*'Costo Materia Prima'!$I$37</f>
        <v>4.8723999999999998</v>
      </c>
      <c r="M21" s="59">
        <f>M20*'Costo Materia Prima'!$I$37</f>
        <v>0</v>
      </c>
      <c r="N21" s="59">
        <f>N20*'Costo Materia Prima'!$I$37</f>
        <v>0</v>
      </c>
    </row>
    <row r="22" spans="10:14" x14ac:dyDescent="0.2">
      <c r="J22" s="338" t="s">
        <v>88</v>
      </c>
      <c r="K22" s="338"/>
      <c r="L22" s="338"/>
      <c r="M22" s="338"/>
      <c r="N22" s="338"/>
    </row>
    <row r="23" spans="10:14" x14ac:dyDescent="0.2">
      <c r="J23" s="40" t="s">
        <v>369</v>
      </c>
      <c r="K23" s="30" t="s">
        <v>370</v>
      </c>
      <c r="L23" s="41" t="s">
        <v>371</v>
      </c>
      <c r="M23" s="42" t="s">
        <v>373</v>
      </c>
      <c r="N23" s="30" t="s">
        <v>448</v>
      </c>
    </row>
    <row r="24" spans="10:14" x14ac:dyDescent="0.2">
      <c r="J24" s="54" t="s">
        <v>457</v>
      </c>
      <c r="K24" s="43">
        <v>0</v>
      </c>
      <c r="L24" s="44">
        <f>0.005*2</f>
        <v>0.01</v>
      </c>
      <c r="M24" s="45">
        <v>0</v>
      </c>
      <c r="N24" s="43"/>
    </row>
    <row r="25" spans="10:14" x14ac:dyDescent="0.2">
      <c r="J25" s="33" t="s">
        <v>458</v>
      </c>
      <c r="K25" s="46">
        <v>0</v>
      </c>
      <c r="L25" s="56">
        <v>0</v>
      </c>
      <c r="M25" s="56">
        <v>0</v>
      </c>
      <c r="N25" s="56"/>
    </row>
    <row r="26" spans="10:14" x14ac:dyDescent="0.2">
      <c r="J26" s="30" t="s">
        <v>459</v>
      </c>
      <c r="K26" s="56">
        <f>SUM(K24:K25)</f>
        <v>0</v>
      </c>
      <c r="L26" s="56">
        <f>SUM(L24:L25)</f>
        <v>0.01</v>
      </c>
      <c r="M26" s="56">
        <f>SUM(M24:M25)</f>
        <v>0</v>
      </c>
      <c r="N26" s="56">
        <f>SUM(N24:N25)</f>
        <v>0</v>
      </c>
    </row>
    <row r="27" spans="10:14" x14ac:dyDescent="0.2">
      <c r="J27" s="30" t="s">
        <v>438</v>
      </c>
      <c r="K27" s="59">
        <f>K26*'Costo Materia Prima'!$I$38</f>
        <v>0</v>
      </c>
      <c r="L27" s="59">
        <f>L26*'Costo Materia Prima'!$I$38</f>
        <v>2.6434800000000003</v>
      </c>
      <c r="M27" s="59">
        <f>M26*'Costo Materia Prima'!$I$38</f>
        <v>0</v>
      </c>
      <c r="N27" s="59">
        <f>N26*'Costo Materia Prima'!$I$38</f>
        <v>0</v>
      </c>
    </row>
  </sheetData>
  <mergeCells count="5">
    <mergeCell ref="J22:N22"/>
    <mergeCell ref="C2:H2"/>
    <mergeCell ref="J3:N3"/>
    <mergeCell ref="J10:N10"/>
    <mergeCell ref="J16:N16"/>
  </mergeCells>
  <pageMargins left="0.7" right="0.7" top="0.75" bottom="0.75" header="0.3" footer="0.3"/>
  <pageSetup orientation="portrait" horizontalDpi="0" verticalDpi="0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D4D758-1698-4447-96EF-D69B2124E86D}">
  <sheetPr codeName="Hoja27"/>
  <dimension ref="A2:M38"/>
  <sheetViews>
    <sheetView topLeftCell="A2" workbookViewId="0">
      <selection activeCell="D24" sqref="D24"/>
    </sheetView>
  </sheetViews>
  <sheetFormatPr baseColWidth="10" defaultColWidth="11.5" defaultRowHeight="15" x14ac:dyDescent="0.2"/>
  <cols>
    <col min="1" max="1" width="21.1640625" bestFit="1" customWidth="1"/>
    <col min="2" max="2" width="8" bestFit="1" customWidth="1"/>
    <col min="8" max="8" width="18" customWidth="1"/>
  </cols>
  <sheetData>
    <row r="2" spans="1:13" x14ac:dyDescent="0.2">
      <c r="A2" s="310" t="s">
        <v>435</v>
      </c>
      <c r="B2" s="310"/>
      <c r="C2" s="310"/>
      <c r="D2" s="310"/>
    </row>
    <row r="3" spans="1:13" ht="16" thickBot="1" x14ac:dyDescent="0.25">
      <c r="A3" s="158" t="s">
        <v>341</v>
      </c>
      <c r="B3" s="158" t="s">
        <v>4</v>
      </c>
      <c r="C3" s="158" t="s">
        <v>5</v>
      </c>
      <c r="D3" s="158" t="s">
        <v>7</v>
      </c>
      <c r="E3">
        <v>7.3</v>
      </c>
      <c r="G3">
        <v>432</v>
      </c>
    </row>
    <row r="4" spans="1:13" x14ac:dyDescent="0.2">
      <c r="A4" s="105" t="s">
        <v>230</v>
      </c>
      <c r="B4">
        <v>4.5999999999999996</v>
      </c>
      <c r="C4" s="3" t="s">
        <v>15</v>
      </c>
      <c r="D4" s="13">
        <f>VLOOKUP(A4,'Costo Materia Prima'!$D$3:$I$236,6,FALSE)*B4</f>
        <v>85.1</v>
      </c>
      <c r="E4">
        <f>B4/$E$3</f>
        <v>0.63013698630136983</v>
      </c>
      <c r="F4">
        <f>E4*1000</f>
        <v>630.1369863013698</v>
      </c>
      <c r="G4">
        <f>(B4/$G$3)*1000</f>
        <v>10.648148148148147</v>
      </c>
      <c r="H4" s="261" t="s">
        <v>147</v>
      </c>
      <c r="I4" s="2">
        <v>16.7</v>
      </c>
      <c r="J4" s="259" t="s">
        <v>15</v>
      </c>
      <c r="K4" s="85">
        <f>VLOOKUP(H4,'Costo Materia Prima'!$D$3:$I$236,6,FALSE)*I4</f>
        <v>1385.6620977353991</v>
      </c>
    </row>
    <row r="5" spans="1:13" x14ac:dyDescent="0.2">
      <c r="A5" s="105" t="s">
        <v>146</v>
      </c>
      <c r="B5">
        <v>3.2</v>
      </c>
      <c r="C5" s="3" t="s">
        <v>15</v>
      </c>
      <c r="D5" s="13">
        <f>VLOOKUP(A5,'Costo Materia Prima'!$D$3:$I$236,6,FALSE)*B5</f>
        <v>185.60000000000002</v>
      </c>
      <c r="E5">
        <f t="shared" ref="E5:E11" si="0">B5/$E$3</f>
        <v>0.43835616438356168</v>
      </c>
      <c r="F5">
        <f t="shared" ref="F5:F10" si="1">E5*1000</f>
        <v>438.35616438356169</v>
      </c>
      <c r="G5">
        <f t="shared" ref="G5:G10" si="2">(B5/$G$3)*1000</f>
        <v>7.4074074074074074</v>
      </c>
      <c r="H5" s="2" t="s">
        <v>313</v>
      </c>
      <c r="I5" s="2">
        <v>0.3</v>
      </c>
      <c r="J5" s="2" t="s">
        <v>15</v>
      </c>
      <c r="K5" s="85">
        <f>VLOOKUP(H5,'Costo Materia Prima'!$D$3:$I$236,6,FALSE)*I5</f>
        <v>52.499759999999988</v>
      </c>
      <c r="L5">
        <f>I5/$I$4</f>
        <v>1.7964071856287425E-2</v>
      </c>
      <c r="M5">
        <f>L5*1000</f>
        <v>17.964071856287426</v>
      </c>
    </row>
    <row r="6" spans="1:13" x14ac:dyDescent="0.2">
      <c r="A6" s="105" t="s">
        <v>303</v>
      </c>
      <c r="B6">
        <v>2.9000000000000001E-2</v>
      </c>
      <c r="C6" s="3" t="s">
        <v>15</v>
      </c>
      <c r="D6" s="13">
        <f>VLOOKUP(A6,'Costo Materia Prima'!$D$3:$I$236,6,FALSE)*B6</f>
        <v>0.42654166666666671</v>
      </c>
      <c r="E6">
        <f t="shared" si="0"/>
        <v>3.9726027397260274E-3</v>
      </c>
      <c r="F6">
        <f t="shared" si="1"/>
        <v>3.9726027397260273</v>
      </c>
      <c r="G6">
        <f t="shared" si="2"/>
        <v>6.7129629629629636E-2</v>
      </c>
      <c r="H6" s="2" t="s">
        <v>279</v>
      </c>
      <c r="I6" s="2">
        <v>0.01</v>
      </c>
      <c r="J6" s="2" t="s">
        <v>15</v>
      </c>
      <c r="K6" s="85">
        <f>VLOOKUP(H6,'Costo Materia Prima'!$D$3:$I$236,6,FALSE)*I6</f>
        <v>2.931772727272727</v>
      </c>
      <c r="L6">
        <f>I6/$I$4</f>
        <v>5.9880239520958083E-4</v>
      </c>
      <c r="M6">
        <f>L6*1000</f>
        <v>0.59880239520958078</v>
      </c>
    </row>
    <row r="7" spans="1:13" x14ac:dyDescent="0.2">
      <c r="A7" s="105" t="s">
        <v>200</v>
      </c>
      <c r="B7">
        <v>2.1</v>
      </c>
      <c r="C7" s="3" t="s">
        <v>18</v>
      </c>
      <c r="D7" s="13">
        <f>VLOOKUP(A7,'Costo Materia Prima'!$D$3:$I$236,6,FALSE)*B7</f>
        <v>1.8789473684210527</v>
      </c>
      <c r="E7">
        <f t="shared" si="0"/>
        <v>0.28767123287671237</v>
      </c>
      <c r="F7">
        <f t="shared" si="1"/>
        <v>287.67123287671239</v>
      </c>
      <c r="G7">
        <f t="shared" si="2"/>
        <v>4.8611111111111116</v>
      </c>
      <c r="H7" s="2"/>
      <c r="I7" s="2"/>
      <c r="J7" s="2"/>
      <c r="K7" s="85">
        <f>SUM(K4:K6)</f>
        <v>1441.0936304626719</v>
      </c>
    </row>
    <row r="8" spans="1:13" x14ac:dyDescent="0.2">
      <c r="A8" s="105" t="s">
        <v>279</v>
      </c>
      <c r="B8">
        <v>4.8000000000000001E-2</v>
      </c>
      <c r="C8" s="3" t="s">
        <v>15</v>
      </c>
      <c r="D8" s="13">
        <f>VLOOKUP(A8,'Costo Materia Prima'!$D$3:$I$236,6,FALSE)*B8</f>
        <v>14.072509090909088</v>
      </c>
      <c r="E8">
        <f t="shared" si="0"/>
        <v>6.5753424657534251E-3</v>
      </c>
      <c r="F8">
        <f t="shared" si="1"/>
        <v>6.5753424657534252</v>
      </c>
      <c r="G8">
        <f t="shared" si="2"/>
        <v>0.11111111111111112</v>
      </c>
      <c r="H8" s="2" t="s">
        <v>438</v>
      </c>
      <c r="I8" s="2">
        <v>17</v>
      </c>
      <c r="J8" s="2" t="s">
        <v>15</v>
      </c>
      <c r="K8" s="85">
        <f>K7/I8</f>
        <v>84.770213556627752</v>
      </c>
    </row>
    <row r="9" spans="1:13" x14ac:dyDescent="0.2">
      <c r="A9" s="105" t="s">
        <v>147</v>
      </c>
      <c r="B9">
        <v>4.8</v>
      </c>
      <c r="C9" s="3" t="s">
        <v>15</v>
      </c>
      <c r="D9" s="13">
        <f>B9*K8</f>
        <v>406.89702507181318</v>
      </c>
      <c r="E9">
        <f t="shared" si="0"/>
        <v>0.65753424657534243</v>
      </c>
      <c r="F9">
        <f t="shared" si="1"/>
        <v>657.53424657534242</v>
      </c>
      <c r="G9">
        <f t="shared" si="2"/>
        <v>11.111111111111111</v>
      </c>
    </row>
    <row r="10" spans="1:13" x14ac:dyDescent="0.2">
      <c r="A10" s="105" t="s">
        <v>13</v>
      </c>
      <c r="B10">
        <v>4.8000000000000001E-2</v>
      </c>
      <c r="C10" s="3" t="s">
        <v>15</v>
      </c>
      <c r="D10" s="13">
        <f>VLOOKUP(A10,'Costo Materia Prima'!$D$3:$I$236,6,FALSE)*B10</f>
        <v>0.97919999999999996</v>
      </c>
      <c r="E10">
        <f t="shared" si="0"/>
        <v>6.5753424657534251E-3</v>
      </c>
      <c r="F10">
        <f t="shared" si="1"/>
        <v>6.5753424657534252</v>
      </c>
      <c r="G10">
        <f t="shared" si="2"/>
        <v>0.11111111111111112</v>
      </c>
    </row>
    <row r="11" spans="1:13" x14ac:dyDescent="0.2">
      <c r="A11" s="105" t="s">
        <v>132</v>
      </c>
      <c r="B11">
        <f>4*4</f>
        <v>16</v>
      </c>
      <c r="C11" s="3" t="s">
        <v>398</v>
      </c>
      <c r="D11" s="13">
        <f>VLOOKUP(A11,'Costo Materia Prima'!$D$3:$I$236,6,FALSE)*B11</f>
        <v>28.890666666666664</v>
      </c>
      <c r="E11">
        <f t="shared" si="0"/>
        <v>2.1917808219178081</v>
      </c>
      <c r="F11">
        <f>E11</f>
        <v>2.1917808219178081</v>
      </c>
      <c r="G11">
        <f>(B11/$G$3)</f>
        <v>3.7037037037037035E-2</v>
      </c>
    </row>
    <row r="12" spans="1:13" x14ac:dyDescent="0.2">
      <c r="A12" s="105"/>
      <c r="D12" s="13">
        <f>SUM(D4:D11)</f>
        <v>723.84488986447673</v>
      </c>
    </row>
    <row r="13" spans="1:13" x14ac:dyDescent="0.2">
      <c r="A13" s="105" t="s">
        <v>460</v>
      </c>
      <c r="D13" s="13"/>
    </row>
    <row r="14" spans="1:13" x14ac:dyDescent="0.2">
      <c r="A14" s="105" t="s">
        <v>461</v>
      </c>
      <c r="D14" s="13"/>
    </row>
    <row r="15" spans="1:13" x14ac:dyDescent="0.2">
      <c r="A15" s="105" t="s">
        <v>462</v>
      </c>
      <c r="B15">
        <f>4*4*27</f>
        <v>432</v>
      </c>
      <c r="D15" s="13">
        <f>SUM(D4:D11)/B15</f>
        <v>1.6755668746862886</v>
      </c>
    </row>
    <row r="16" spans="1:13" x14ac:dyDescent="0.2">
      <c r="A16" s="105" t="s">
        <v>614</v>
      </c>
      <c r="D16" s="13">
        <f>SUM(D4:D7)/B15</f>
        <v>0.63195715054418455</v>
      </c>
    </row>
    <row r="17" spans="1:5" x14ac:dyDescent="0.2">
      <c r="A17" s="105"/>
      <c r="D17" s="13"/>
    </row>
    <row r="18" spans="1:5" x14ac:dyDescent="0.2">
      <c r="A18" s="105"/>
      <c r="D18" s="13"/>
    </row>
    <row r="20" spans="1:5" x14ac:dyDescent="0.2">
      <c r="A20" t="s">
        <v>463</v>
      </c>
      <c r="C20" s="26">
        <v>0.35</v>
      </c>
      <c r="D20" s="13">
        <f>(1+C20)*D10</f>
        <v>1.32192</v>
      </c>
    </row>
    <row r="21" spans="1:5" x14ac:dyDescent="0.2">
      <c r="A21" t="s">
        <v>259</v>
      </c>
      <c r="C21">
        <v>1</v>
      </c>
      <c r="D21" s="13">
        <f>VLOOKUP(A21,'Costo Materia Prima'!$D$3:$I$236,6,FALSE)*C21</f>
        <v>5.5354799999999997</v>
      </c>
    </row>
    <row r="22" spans="1:5" x14ac:dyDescent="0.2">
      <c r="A22" t="s">
        <v>167</v>
      </c>
      <c r="C22">
        <v>1</v>
      </c>
      <c r="D22" s="13">
        <f>VLOOKUP(A22,'Costo Materia Prima'!$D$3:$I$236,6,FALSE)*C22</f>
        <v>0.42919999999999997</v>
      </c>
    </row>
    <row r="24" spans="1:5" x14ac:dyDescent="0.2">
      <c r="A24" t="s">
        <v>464</v>
      </c>
      <c r="D24">
        <v>2.15</v>
      </c>
    </row>
    <row r="25" spans="1:5" x14ac:dyDescent="0.2">
      <c r="A25" t="s">
        <v>343</v>
      </c>
      <c r="D25" s="126">
        <f>SUM(D20:D22)</f>
        <v>7.2866</v>
      </c>
      <c r="E25" s="13"/>
    </row>
    <row r="27" spans="1:5" x14ac:dyDescent="0.2">
      <c r="A27" t="s">
        <v>465</v>
      </c>
      <c r="C27" s="26">
        <v>0.5</v>
      </c>
      <c r="D27" s="126">
        <f>D25/(1-C27)</f>
        <v>14.5732</v>
      </c>
    </row>
    <row r="29" spans="1:5" x14ac:dyDescent="0.2">
      <c r="A29" t="s">
        <v>466</v>
      </c>
      <c r="D29">
        <v>292</v>
      </c>
    </row>
    <row r="30" spans="1:5" x14ac:dyDescent="0.2">
      <c r="D30" s="13">
        <f>D20/D29</f>
        <v>4.5271232876712324E-3</v>
      </c>
    </row>
    <row r="31" spans="1:5" x14ac:dyDescent="0.2">
      <c r="B31">
        <v>10</v>
      </c>
      <c r="C31" t="s">
        <v>21</v>
      </c>
      <c r="D31" s="13">
        <f>D30*B31</f>
        <v>4.5271232876712322E-2</v>
      </c>
    </row>
    <row r="32" spans="1:5" x14ac:dyDescent="0.2">
      <c r="D32">
        <v>2</v>
      </c>
    </row>
    <row r="33" spans="1:4" x14ac:dyDescent="0.2">
      <c r="D33">
        <v>1</v>
      </c>
    </row>
    <row r="34" spans="1:4" x14ac:dyDescent="0.2">
      <c r="D34" s="126">
        <f>SUM(D30:D33)</f>
        <v>3.0497983561643838</v>
      </c>
    </row>
    <row r="35" spans="1:4" x14ac:dyDescent="0.2">
      <c r="A35" t="s">
        <v>465</v>
      </c>
      <c r="C35" s="26">
        <v>0.4</v>
      </c>
      <c r="D35" s="13">
        <f>D34/(1-C35)</f>
        <v>5.0829972602739728</v>
      </c>
    </row>
    <row r="37" spans="1:4" x14ac:dyDescent="0.2">
      <c r="A37" t="s">
        <v>786</v>
      </c>
      <c r="B37">
        <v>5</v>
      </c>
    </row>
    <row r="38" spans="1:4" x14ac:dyDescent="0.2">
      <c r="A38" t="s">
        <v>787</v>
      </c>
      <c r="B38">
        <v>20</v>
      </c>
    </row>
  </sheetData>
  <mergeCells count="1">
    <mergeCell ref="A2:D2"/>
  </mergeCells>
  <pageMargins left="0.7" right="0.7" top="0.75" bottom="0.75" header="0.3" footer="0.3"/>
  <pageSetup orientation="portrait" horizontalDpi="0" verticalDpi="0"/>
  <ignoredErrors>
    <ignoredError sqref="D9" formula="1"/>
  </ignoredError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BCBE6421-06A1-F74C-8315-7F5C547B0962}">
          <x14:formula1>
            <xm:f>'Costo Materia Prima'!$D$3:$D$162</xm:f>
          </x14:formula1>
          <xm:sqref>A21:A22</xm:sqref>
        </x14:dataValidation>
      </x14:dataValidations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D7734F-AE0C-FB4D-B5F7-9019A422C5A3}">
  <sheetPr codeName="Hoja15"/>
  <dimension ref="A2:Y35"/>
  <sheetViews>
    <sheetView workbookViewId="0">
      <selection activeCell="H13" sqref="H13"/>
    </sheetView>
  </sheetViews>
  <sheetFormatPr baseColWidth="10" defaultColWidth="9.1640625" defaultRowHeight="15" x14ac:dyDescent="0.2"/>
  <cols>
    <col min="1" max="1" width="15.6640625" bestFit="1" customWidth="1"/>
    <col min="2" max="2" width="12.5" customWidth="1"/>
    <col min="3" max="3" width="9.83203125" bestFit="1" customWidth="1"/>
    <col min="4" max="4" width="9.6640625" bestFit="1" customWidth="1"/>
    <col min="7" max="7" width="13" bestFit="1" customWidth="1"/>
    <col min="8" max="8" width="13" customWidth="1"/>
    <col min="10" max="10" width="16.5" bestFit="1" customWidth="1"/>
    <col min="11" max="11" width="8.6640625" bestFit="1" customWidth="1"/>
    <col min="12" max="12" width="16.33203125" bestFit="1" customWidth="1"/>
    <col min="13" max="13" width="13.83203125" bestFit="1" customWidth="1"/>
    <col min="14" max="14" width="18" bestFit="1" customWidth="1"/>
    <col min="16" max="16" width="15.33203125" bestFit="1" customWidth="1"/>
    <col min="17" max="19" width="8.83203125" bestFit="1" customWidth="1"/>
    <col min="20" max="20" width="10.5" bestFit="1" customWidth="1"/>
    <col min="25" max="25" width="18.1640625" bestFit="1" customWidth="1"/>
  </cols>
  <sheetData>
    <row r="2" spans="1:25" x14ac:dyDescent="0.2">
      <c r="C2" s="310" t="s">
        <v>444</v>
      </c>
      <c r="D2" s="310"/>
      <c r="E2" s="310"/>
      <c r="F2" s="310"/>
      <c r="G2" s="310"/>
      <c r="H2" s="310"/>
    </row>
    <row r="3" spans="1:25" x14ac:dyDescent="0.2">
      <c r="A3" s="20" t="s">
        <v>445</v>
      </c>
      <c r="B3" s="20"/>
      <c r="C3" s="20" t="s">
        <v>413</v>
      </c>
      <c r="D3" s="20" t="s">
        <v>375</v>
      </c>
      <c r="E3" s="20" t="s">
        <v>370</v>
      </c>
      <c r="F3" s="20" t="s">
        <v>371</v>
      </c>
      <c r="G3" s="20" t="s">
        <v>372</v>
      </c>
      <c r="H3" s="20" t="s">
        <v>373</v>
      </c>
      <c r="J3" s="338" t="s">
        <v>345</v>
      </c>
      <c r="K3" s="338"/>
      <c r="L3" s="338"/>
      <c r="M3" s="338"/>
      <c r="N3" s="338"/>
      <c r="P3" s="339" t="s">
        <v>467</v>
      </c>
      <c r="Q3" s="339"/>
      <c r="R3" s="339"/>
      <c r="S3" s="339"/>
      <c r="T3" s="339"/>
      <c r="U3" s="339"/>
      <c r="W3" t="s">
        <v>467</v>
      </c>
      <c r="X3">
        <f>70/1000</f>
        <v>7.0000000000000007E-2</v>
      </c>
      <c r="Y3" t="s">
        <v>468</v>
      </c>
    </row>
    <row r="4" spans="1:25" x14ac:dyDescent="0.2">
      <c r="A4" t="s">
        <v>392</v>
      </c>
      <c r="E4" s="32">
        <f>'Insumos 2'!T170</f>
        <v>0</v>
      </c>
      <c r="F4" s="32">
        <f>'Insumos 2'!U170</f>
        <v>58.932467656249983</v>
      </c>
      <c r="G4" s="32">
        <f>'Insumos 2'!V170</f>
        <v>106.07844178124998</v>
      </c>
      <c r="H4" s="32">
        <f>'Insumos 2'!W170</f>
        <v>176.79740296874996</v>
      </c>
      <c r="J4" s="40" t="s">
        <v>369</v>
      </c>
      <c r="K4" s="30" t="s">
        <v>371</v>
      </c>
      <c r="L4" s="41" t="s">
        <v>372</v>
      </c>
      <c r="M4" s="42" t="s">
        <v>373</v>
      </c>
      <c r="N4" s="30" t="s">
        <v>448</v>
      </c>
      <c r="P4" s="33" t="s">
        <v>369</v>
      </c>
      <c r="Q4" s="33" t="s">
        <v>370</v>
      </c>
      <c r="R4" s="33" t="s">
        <v>371</v>
      </c>
      <c r="S4" s="33" t="s">
        <v>373</v>
      </c>
      <c r="T4" s="33" t="s">
        <v>448</v>
      </c>
      <c r="U4" s="33" t="s">
        <v>402</v>
      </c>
    </row>
    <row r="5" spans="1:25" x14ac:dyDescent="0.2">
      <c r="A5" t="s">
        <v>469</v>
      </c>
      <c r="E5" s="32">
        <v>0</v>
      </c>
      <c r="F5" s="32">
        <f>K9</f>
        <v>0</v>
      </c>
      <c r="G5" s="32">
        <f t="shared" ref="G5:H5" si="0">L9</f>
        <v>0</v>
      </c>
      <c r="H5" s="32">
        <f t="shared" si="0"/>
        <v>147.30799344286731</v>
      </c>
      <c r="J5" s="54" t="s">
        <v>450</v>
      </c>
      <c r="K5" s="43">
        <v>0</v>
      </c>
      <c r="L5" s="44">
        <v>0</v>
      </c>
      <c r="M5" s="45">
        <v>1.2</v>
      </c>
      <c r="N5" s="43">
        <v>1.96</v>
      </c>
      <c r="P5" s="33" t="s">
        <v>470</v>
      </c>
      <c r="Q5" s="87">
        <f>((('Insumos 2'!K112)*X9)/1)*2</f>
        <v>2.8449197860962571E-2</v>
      </c>
      <c r="R5" s="87">
        <f>((('Insumos 2'!L112)*X9)/1)*2</f>
        <v>4.11764705882353E-2</v>
      </c>
      <c r="S5" s="87">
        <f>((('Insumos 2'!M112)*X9)/1)*2</f>
        <v>7.1871657754010707E-2</v>
      </c>
      <c r="T5" s="87">
        <v>1.96</v>
      </c>
      <c r="U5" s="2">
        <f>((('Insumos 2'!N112)*X9)/1)</f>
        <v>2.8074866310160429E-3</v>
      </c>
      <c r="W5" t="s">
        <v>438</v>
      </c>
      <c r="X5">
        <f>'Insumos 2'!G110</f>
        <v>1.87</v>
      </c>
      <c r="Y5" t="s">
        <v>471</v>
      </c>
    </row>
    <row r="6" spans="1:25" x14ac:dyDescent="0.2">
      <c r="A6" t="s">
        <v>90</v>
      </c>
      <c r="E6" s="32">
        <v>0</v>
      </c>
      <c r="F6" s="32">
        <f>K17</f>
        <v>0</v>
      </c>
      <c r="G6" s="32">
        <f>L17</f>
        <v>0</v>
      </c>
      <c r="H6" s="32">
        <f>M17</f>
        <v>119.97217500000001</v>
      </c>
      <c r="J6" s="29" t="s">
        <v>452</v>
      </c>
      <c r="K6" s="60">
        <v>0</v>
      </c>
      <c r="L6" s="47">
        <v>0</v>
      </c>
      <c r="M6" s="48">
        <v>0.39</v>
      </c>
      <c r="N6" s="55">
        <v>0.7</v>
      </c>
      <c r="P6" s="33" t="s">
        <v>472</v>
      </c>
      <c r="Q6" s="87">
        <v>0.01</v>
      </c>
      <c r="R6" s="87">
        <v>0.01</v>
      </c>
      <c r="S6" s="87">
        <v>2.5000000000000001E-2</v>
      </c>
      <c r="T6" s="87">
        <v>0.7</v>
      </c>
      <c r="U6" s="87">
        <v>0.05</v>
      </c>
      <c r="W6" t="s">
        <v>438</v>
      </c>
      <c r="X6">
        <f>'Insumos 2'!B111</f>
        <v>1</v>
      </c>
      <c r="Y6" t="s">
        <v>473</v>
      </c>
    </row>
    <row r="7" spans="1:25" x14ac:dyDescent="0.2">
      <c r="A7" t="s">
        <v>88</v>
      </c>
      <c r="E7" s="32">
        <v>0</v>
      </c>
      <c r="F7" s="32">
        <f>K23</f>
        <v>0</v>
      </c>
      <c r="G7" s="32">
        <f>L23</f>
        <v>0</v>
      </c>
      <c r="H7" s="32">
        <f>M35</f>
        <v>0</v>
      </c>
      <c r="J7" s="29" t="s">
        <v>453</v>
      </c>
      <c r="K7" s="60"/>
      <c r="L7" s="47"/>
      <c r="M7" s="48"/>
      <c r="N7" s="55"/>
      <c r="P7" s="33" t="s">
        <v>474</v>
      </c>
      <c r="Q7" s="2">
        <v>0.01</v>
      </c>
      <c r="R7" s="2">
        <v>0.01</v>
      </c>
      <c r="S7" s="2">
        <v>2.5000000000000001E-2</v>
      </c>
      <c r="T7" s="2"/>
      <c r="U7" s="2"/>
      <c r="X7">
        <f>X6*X3</f>
        <v>7.0000000000000007E-2</v>
      </c>
      <c r="Y7" t="s">
        <v>15</v>
      </c>
    </row>
    <row r="8" spans="1:25" x14ac:dyDescent="0.2">
      <c r="A8" t="s">
        <v>87</v>
      </c>
      <c r="H8" s="32">
        <f>M29</f>
        <v>22.737866666666669</v>
      </c>
      <c r="J8" s="29" t="s">
        <v>345</v>
      </c>
      <c r="K8" s="60">
        <f>SUM(K5:K7)</f>
        <v>0</v>
      </c>
      <c r="L8" s="46">
        <f t="shared" ref="L8:N8" si="1">SUM(L5:L7)</f>
        <v>0</v>
      </c>
      <c r="M8" s="46">
        <f t="shared" si="1"/>
        <v>1.5899999999999999</v>
      </c>
      <c r="N8" s="46">
        <f t="shared" si="1"/>
        <v>2.66</v>
      </c>
      <c r="P8" s="33" t="s">
        <v>453</v>
      </c>
      <c r="Q8" s="87"/>
      <c r="R8" s="87"/>
      <c r="S8" s="87"/>
      <c r="T8" s="87"/>
      <c r="U8" s="2"/>
    </row>
    <row r="9" spans="1:25" x14ac:dyDescent="0.2">
      <c r="A9" t="s">
        <v>475</v>
      </c>
      <c r="H9" s="32">
        <f>M23</f>
        <v>4.0664261793455152</v>
      </c>
      <c r="J9" s="36" t="s">
        <v>454</v>
      </c>
      <c r="K9" s="61">
        <f>K8*'Insumos 1'!$G$13</f>
        <v>0</v>
      </c>
      <c r="L9" s="62">
        <f>L8*'Insumos 1'!$G$13</f>
        <v>0</v>
      </c>
      <c r="M9" s="62">
        <f>M8*'Insumos 1'!$G$13</f>
        <v>147.30799344286731</v>
      </c>
      <c r="N9" s="62">
        <f>N8*'Insumos 1'!$G$13</f>
        <v>246.43978777234409</v>
      </c>
      <c r="P9" s="33" t="s">
        <v>438</v>
      </c>
      <c r="Q9" s="87">
        <f>SUM(Q5:Q8)</f>
        <v>4.8449197860962571E-2</v>
      </c>
      <c r="R9" s="87">
        <f>SUM(R5:R8)</f>
        <v>6.1176470588235304E-2</v>
      </c>
      <c r="S9" s="87">
        <f>SUM(S5:S8)</f>
        <v>0.12187165775401071</v>
      </c>
      <c r="T9" s="87">
        <f>SUM(T5:T8)</f>
        <v>2.66</v>
      </c>
      <c r="U9" s="87">
        <f>SUM(U5:U8)</f>
        <v>5.2807486631016046E-2</v>
      </c>
      <c r="X9">
        <f>X7/X5</f>
        <v>3.7433155080213908E-2</v>
      </c>
      <c r="Y9" t="s">
        <v>476</v>
      </c>
    </row>
    <row r="10" spans="1:25" x14ac:dyDescent="0.2">
      <c r="J10" s="338" t="s">
        <v>90</v>
      </c>
      <c r="K10" s="338"/>
      <c r="L10" s="338"/>
      <c r="M10" s="338"/>
      <c r="N10" s="338"/>
      <c r="P10" s="33" t="s">
        <v>454</v>
      </c>
      <c r="Q10" s="88">
        <f>Q9*'Costo Materia Prima'!$I$12</f>
        <v>0</v>
      </c>
      <c r="R10" s="88">
        <f>R9*'Costo Materia Prima'!$I$12</f>
        <v>0</v>
      </c>
      <c r="S10" s="88">
        <f>S9*'Costo Materia Prima'!$I$12</f>
        <v>0</v>
      </c>
      <c r="T10" s="88">
        <f>T9*'Insumos 1'!$G$13</f>
        <v>246.43978777234409</v>
      </c>
      <c r="U10" s="88">
        <f>U9*'Insumos 1'!$G$13</f>
        <v>4.8924307511798846</v>
      </c>
    </row>
    <row r="11" spans="1:25" x14ac:dyDescent="0.2">
      <c r="J11" s="40" t="s">
        <v>369</v>
      </c>
      <c r="K11" s="30" t="s">
        <v>370</v>
      </c>
      <c r="L11" s="41" t="s">
        <v>371</v>
      </c>
      <c r="M11" s="42" t="s">
        <v>373</v>
      </c>
      <c r="N11" s="30" t="s">
        <v>448</v>
      </c>
    </row>
    <row r="12" spans="1:25" x14ac:dyDescent="0.2">
      <c r="J12" s="54" t="s">
        <v>457</v>
      </c>
      <c r="K12" s="43">
        <v>0</v>
      </c>
      <c r="L12" s="44">
        <v>0</v>
      </c>
      <c r="M12" s="45">
        <v>0.03</v>
      </c>
      <c r="N12" s="43">
        <v>0</v>
      </c>
      <c r="P12" s="339" t="s">
        <v>188</v>
      </c>
      <c r="Q12" s="339"/>
      <c r="R12" s="339"/>
      <c r="S12" s="339"/>
      <c r="T12" s="339"/>
      <c r="U12" s="339"/>
    </row>
    <row r="13" spans="1:25" x14ac:dyDescent="0.2">
      <c r="J13" s="33" t="s">
        <v>458</v>
      </c>
      <c r="K13" s="87">
        <v>0</v>
      </c>
      <c r="L13" s="87">
        <v>0</v>
      </c>
      <c r="M13" s="87">
        <v>0.15</v>
      </c>
      <c r="N13" s="87">
        <v>0</v>
      </c>
      <c r="P13" s="33" t="s">
        <v>369</v>
      </c>
      <c r="Q13" s="33" t="s">
        <v>370</v>
      </c>
      <c r="R13" s="33" t="s">
        <v>371</v>
      </c>
      <c r="S13" s="33" t="s">
        <v>373</v>
      </c>
      <c r="T13" s="33" t="s">
        <v>448</v>
      </c>
      <c r="U13" s="33" t="s">
        <v>402</v>
      </c>
    </row>
    <row r="14" spans="1:25" ht="16" thickBot="1" x14ac:dyDescent="0.25">
      <c r="A14" s="98" t="s">
        <v>444</v>
      </c>
      <c r="B14" s="98"/>
      <c r="C14" s="99">
        <f>'Insumos 3'!S8</f>
        <v>2.80714</v>
      </c>
      <c r="D14" s="98"/>
      <c r="E14" s="100">
        <v>0</v>
      </c>
      <c r="F14" s="100">
        <f>'Insumos 3'!K8</f>
        <v>13.628489999999999</v>
      </c>
      <c r="G14" s="100">
        <f>'Insumos 3'!G8</f>
        <v>15.598399999999998</v>
      </c>
      <c r="H14" s="100">
        <f>'Insumos 3'!C7</f>
        <v>28.574509999999997</v>
      </c>
      <c r="J14" s="33" t="s">
        <v>477</v>
      </c>
      <c r="K14" s="2"/>
      <c r="L14" s="2"/>
      <c r="M14" s="2">
        <v>0.05</v>
      </c>
      <c r="N14" s="2"/>
      <c r="P14" s="33" t="s">
        <v>457</v>
      </c>
      <c r="Q14" s="87">
        <v>0</v>
      </c>
      <c r="R14" s="87">
        <v>0</v>
      </c>
      <c r="S14" s="87">
        <v>0</v>
      </c>
      <c r="T14" s="87">
        <v>0</v>
      </c>
      <c r="U14" s="2"/>
    </row>
    <row r="15" spans="1:25" ht="16" thickTop="1" x14ac:dyDescent="0.2">
      <c r="A15" t="s">
        <v>455</v>
      </c>
      <c r="C15" s="127">
        <f>SUM(C4:C14)+(F15/10)</f>
        <v>10.063235765624999</v>
      </c>
      <c r="D15" s="127">
        <f>SUM(D4:D14)</f>
        <v>0</v>
      </c>
      <c r="E15" s="127">
        <f>SUM(E4:E14)</f>
        <v>0</v>
      </c>
      <c r="F15" s="127">
        <f>SUM(F4:F14)</f>
        <v>72.560957656249983</v>
      </c>
      <c r="G15" s="127">
        <f>SUM(G4:G14)</f>
        <v>121.67684178124998</v>
      </c>
      <c r="H15" s="127">
        <f>SUM(H4:H14)</f>
        <v>499.45637425762942</v>
      </c>
      <c r="J15" s="33" t="s">
        <v>478</v>
      </c>
      <c r="K15" s="2"/>
      <c r="L15" s="2"/>
      <c r="M15" s="2">
        <v>0.15</v>
      </c>
      <c r="N15" s="2"/>
      <c r="P15" s="33" t="s">
        <v>458</v>
      </c>
      <c r="Q15" s="87">
        <v>0.14000000000000001</v>
      </c>
      <c r="R15" s="87">
        <v>0.16</v>
      </c>
      <c r="S15" s="87">
        <v>0.22</v>
      </c>
      <c r="T15" s="87">
        <v>0</v>
      </c>
      <c r="U15" s="2"/>
    </row>
    <row r="16" spans="1:25" x14ac:dyDescent="0.2">
      <c r="J16" s="30" t="s">
        <v>90</v>
      </c>
      <c r="K16" s="56">
        <f t="shared" ref="K16:L16" si="2">SUM(K12:K15)</f>
        <v>0</v>
      </c>
      <c r="L16" s="56">
        <f t="shared" si="2"/>
        <v>0</v>
      </c>
      <c r="M16" s="56">
        <f>SUM(M12:M15)</f>
        <v>0.38</v>
      </c>
      <c r="N16" s="56">
        <f>SUM(N12:N13)</f>
        <v>0</v>
      </c>
      <c r="P16" s="33" t="s">
        <v>188</v>
      </c>
      <c r="Q16" s="87">
        <f>SUM(Q14:Q15)</f>
        <v>0.14000000000000001</v>
      </c>
      <c r="R16" s="87">
        <f t="shared" ref="R16:T16" si="3">SUM(R14:R15)</f>
        <v>0.16</v>
      </c>
      <c r="S16" s="87">
        <f t="shared" si="3"/>
        <v>0.22</v>
      </c>
      <c r="T16" s="87">
        <f t="shared" si="3"/>
        <v>0</v>
      </c>
      <c r="U16" s="2"/>
    </row>
    <row r="17" spans="8:21" x14ac:dyDescent="0.2">
      <c r="H17" s="32">
        <f>H15*0.2</f>
        <v>99.891274851525893</v>
      </c>
      <c r="J17" s="30" t="s">
        <v>438</v>
      </c>
      <c r="K17" s="58">
        <f>K16*'Costo Materia Prima'!$I$39</f>
        <v>0</v>
      </c>
      <c r="L17" s="58">
        <f>L16*'Costo Materia Prima'!$I$39</f>
        <v>0</v>
      </c>
      <c r="M17" s="58">
        <f>M16*'Costo Materia Prima'!$I$39</f>
        <v>119.97217500000001</v>
      </c>
      <c r="N17" s="58">
        <f>N16*'Costo Materia Prima'!$I$83</f>
        <v>0</v>
      </c>
      <c r="P17" s="33" t="s">
        <v>438</v>
      </c>
      <c r="Q17" s="88">
        <f>Q16*'Costo Materia Prima'!$I$83</f>
        <v>15.96</v>
      </c>
      <c r="R17" s="88">
        <f>R16*'Costo Materia Prima'!$I$83</f>
        <v>18.240000000000002</v>
      </c>
      <c r="S17" s="88">
        <f>S16*'Costo Materia Prima'!$I$83</f>
        <v>25.080000000000002</v>
      </c>
      <c r="T17" s="88">
        <f>T16*'Costo Materia Prima'!$I$83</f>
        <v>0</v>
      </c>
      <c r="U17" s="88">
        <f>U16*'Costo Materia Prima'!$I$83</f>
        <v>0</v>
      </c>
    </row>
    <row r="18" spans="8:21" x14ac:dyDescent="0.2">
      <c r="H18" s="32">
        <f>H17+H15</f>
        <v>599.34764910915533</v>
      </c>
      <c r="J18" s="338" t="s">
        <v>479</v>
      </c>
      <c r="K18" s="338"/>
      <c r="L18" s="338"/>
      <c r="M18" s="338"/>
      <c r="N18" s="338"/>
    </row>
    <row r="19" spans="8:21" x14ac:dyDescent="0.2">
      <c r="H19" s="32">
        <f>H18/(1-0.2)</f>
        <v>749.1845613864441</v>
      </c>
      <c r="J19" s="40" t="s">
        <v>369</v>
      </c>
      <c r="K19" s="30" t="s">
        <v>370</v>
      </c>
      <c r="L19" s="41" t="s">
        <v>371</v>
      </c>
      <c r="M19" s="42" t="s">
        <v>373</v>
      </c>
      <c r="N19" s="30" t="s">
        <v>448</v>
      </c>
      <c r="P19" s="339" t="s">
        <v>345</v>
      </c>
      <c r="Q19" s="339"/>
      <c r="R19" s="339"/>
      <c r="S19" s="339"/>
      <c r="T19" s="339"/>
      <c r="U19" s="339"/>
    </row>
    <row r="20" spans="8:21" x14ac:dyDescent="0.2">
      <c r="J20" s="54" t="s">
        <v>457</v>
      </c>
      <c r="K20" s="43">
        <v>0</v>
      </c>
      <c r="L20" s="44">
        <v>0</v>
      </c>
      <c r="M20" s="45">
        <v>0.04</v>
      </c>
      <c r="N20" s="43"/>
      <c r="P20" s="40" t="s">
        <v>369</v>
      </c>
      <c r="Q20" s="30" t="s">
        <v>370</v>
      </c>
      <c r="R20" s="41" t="s">
        <v>371</v>
      </c>
      <c r="S20" s="42" t="s">
        <v>373</v>
      </c>
      <c r="T20" s="30" t="s">
        <v>448</v>
      </c>
      <c r="U20" s="30" t="s">
        <v>402</v>
      </c>
    </row>
    <row r="21" spans="8:21" x14ac:dyDescent="0.2">
      <c r="J21" s="33" t="s">
        <v>458</v>
      </c>
      <c r="K21" s="46"/>
      <c r="L21" s="56"/>
      <c r="M21" s="56"/>
      <c r="N21" s="56"/>
      <c r="P21" s="54" t="s">
        <v>480</v>
      </c>
      <c r="Q21" s="43">
        <v>0.19</v>
      </c>
      <c r="R21" s="44">
        <v>0.245</v>
      </c>
      <c r="S21" s="45">
        <v>0.39</v>
      </c>
      <c r="T21" s="43">
        <v>1.96</v>
      </c>
      <c r="U21" s="84">
        <v>0.05</v>
      </c>
    </row>
    <row r="22" spans="8:21" x14ac:dyDescent="0.2">
      <c r="J22" s="30" t="s">
        <v>479</v>
      </c>
      <c r="K22" s="56">
        <f>SUM(K20:K21)</f>
        <v>0</v>
      </c>
      <c r="L22" s="56">
        <f>SUM(L20:L21)</f>
        <v>0</v>
      </c>
      <c r="M22" s="56">
        <f>SUM(M20:M21)</f>
        <v>0.04</v>
      </c>
      <c r="N22" s="56">
        <f>SUM(N20:N21)</f>
        <v>0</v>
      </c>
      <c r="P22" s="33" t="s">
        <v>481</v>
      </c>
      <c r="Q22" s="87">
        <v>0.19</v>
      </c>
      <c r="R22" s="87">
        <v>0.245</v>
      </c>
      <c r="S22" s="87">
        <v>0.39</v>
      </c>
      <c r="T22" s="87">
        <v>0.7</v>
      </c>
      <c r="U22" s="87">
        <v>0</v>
      </c>
    </row>
    <row r="23" spans="8:21" x14ac:dyDescent="0.2">
      <c r="J23" s="30" t="s">
        <v>438</v>
      </c>
      <c r="K23" s="59">
        <f>K22*'Insumos 2'!$G$28</f>
        <v>0</v>
      </c>
      <c r="L23" s="59">
        <f>L22*'Insumos 2'!$G$28</f>
        <v>0</v>
      </c>
      <c r="M23" s="59">
        <f>M22*'Insumos 2'!$G$28</f>
        <v>4.0664261793455152</v>
      </c>
      <c r="N23" s="59">
        <f>N22*'Costo Materia Prima'!$I$56</f>
        <v>0</v>
      </c>
      <c r="P23" s="33" t="s">
        <v>453</v>
      </c>
      <c r="Q23" s="87"/>
      <c r="R23" s="87"/>
      <c r="S23" s="87"/>
      <c r="T23" s="87"/>
      <c r="U23" s="2"/>
    </row>
    <row r="24" spans="8:21" x14ac:dyDescent="0.2">
      <c r="J24" s="338" t="s">
        <v>87</v>
      </c>
      <c r="K24" s="338"/>
      <c r="L24" s="338"/>
      <c r="M24" s="338"/>
      <c r="N24" s="338"/>
      <c r="P24" s="33" t="s">
        <v>438</v>
      </c>
      <c r="Q24" s="87">
        <f>SUM(Q21:Q23)</f>
        <v>0.38</v>
      </c>
      <c r="R24" s="87">
        <f t="shared" ref="R24:U24" si="4">SUM(R21:R23)</f>
        <v>0.49</v>
      </c>
      <c r="S24" s="87">
        <f t="shared" si="4"/>
        <v>0.78</v>
      </c>
      <c r="T24" s="87">
        <f t="shared" si="4"/>
        <v>2.66</v>
      </c>
      <c r="U24" s="87">
        <f t="shared" si="4"/>
        <v>0.05</v>
      </c>
    </row>
    <row r="25" spans="8:21" x14ac:dyDescent="0.2">
      <c r="J25" s="40" t="s">
        <v>369</v>
      </c>
      <c r="K25" s="30" t="s">
        <v>370</v>
      </c>
      <c r="L25" s="41" t="s">
        <v>371</v>
      </c>
      <c r="M25" s="42" t="s">
        <v>373</v>
      </c>
      <c r="N25" s="30" t="s">
        <v>448</v>
      </c>
      <c r="P25" s="33" t="s">
        <v>454</v>
      </c>
      <c r="Q25" s="88">
        <f>Q24*'Insumos 1'!$G$13</f>
        <v>35.205683967477725</v>
      </c>
      <c r="R25" s="88">
        <f>R24*'Insumos 1'!$G$13</f>
        <v>45.39680301069496</v>
      </c>
      <c r="S25" s="88">
        <f>S24*'Insumos 1'!$G$13</f>
        <v>72.264298670085864</v>
      </c>
      <c r="T25" s="88">
        <f>T24*'Insumos 1'!$G$13</f>
        <v>246.43978777234409</v>
      </c>
      <c r="U25" s="88">
        <f>U24*'Insumos 1'!$G$13</f>
        <v>4.6323268378260165</v>
      </c>
    </row>
    <row r="26" spans="8:21" x14ac:dyDescent="0.2">
      <c r="J26" s="54" t="s">
        <v>457</v>
      </c>
      <c r="K26" s="43">
        <v>0</v>
      </c>
      <c r="L26" s="44">
        <v>0</v>
      </c>
      <c r="M26" s="45">
        <v>7.0000000000000007E-2</v>
      </c>
      <c r="N26" s="43"/>
    </row>
    <row r="27" spans="8:21" x14ac:dyDescent="0.2">
      <c r="J27" s="33" t="s">
        <v>458</v>
      </c>
      <c r="K27" s="46"/>
      <c r="L27" s="56"/>
      <c r="M27" s="56"/>
      <c r="N27" s="56"/>
    </row>
    <row r="28" spans="8:21" x14ac:dyDescent="0.2">
      <c r="J28" s="30" t="s">
        <v>479</v>
      </c>
      <c r="K28" s="56">
        <f>SUM(K26:K27)</f>
        <v>0</v>
      </c>
      <c r="L28" s="56">
        <f>SUM(L26:L27)</f>
        <v>0</v>
      </c>
      <c r="M28" s="56">
        <f>SUM(M26:M27)</f>
        <v>7.0000000000000007E-2</v>
      </c>
      <c r="N28" s="56">
        <f>SUM(N26:N27)</f>
        <v>0</v>
      </c>
    </row>
    <row r="29" spans="8:21" x14ac:dyDescent="0.2">
      <c r="J29" s="30" t="s">
        <v>438</v>
      </c>
      <c r="K29" s="59">
        <f>K28*'Costo Materia Prima'!$I$37</f>
        <v>0</v>
      </c>
      <c r="L29" s="59">
        <f>L28*'Costo Materia Prima'!$I$37</f>
        <v>0</v>
      </c>
      <c r="M29" s="59">
        <f>M28*'Costo Materia Prima'!$I$37</f>
        <v>22.737866666666669</v>
      </c>
      <c r="N29" s="59">
        <f>N28*'Costo Materia Prima'!$I$56</f>
        <v>0</v>
      </c>
    </row>
    <row r="30" spans="8:21" x14ac:dyDescent="0.2">
      <c r="J30" s="338" t="s">
        <v>88</v>
      </c>
      <c r="K30" s="338"/>
      <c r="L30" s="338"/>
      <c r="M30" s="338"/>
      <c r="N30" s="338"/>
    </row>
    <row r="31" spans="8:21" x14ac:dyDescent="0.2">
      <c r="J31" s="40" t="s">
        <v>369</v>
      </c>
      <c r="K31" s="30" t="s">
        <v>370</v>
      </c>
      <c r="L31" s="41" t="s">
        <v>371</v>
      </c>
      <c r="M31" s="42" t="s">
        <v>373</v>
      </c>
      <c r="N31" s="30" t="s">
        <v>448</v>
      </c>
    </row>
    <row r="32" spans="8:21" x14ac:dyDescent="0.2">
      <c r="J32" s="54" t="s">
        <v>457</v>
      </c>
      <c r="K32" s="43">
        <v>0</v>
      </c>
      <c r="L32" s="44">
        <v>0</v>
      </c>
      <c r="M32" s="45">
        <f>0.005*2</f>
        <v>0.01</v>
      </c>
      <c r="N32" s="43"/>
    </row>
    <row r="33" spans="10:14" x14ac:dyDescent="0.2">
      <c r="J33" s="33" t="s">
        <v>458</v>
      </c>
      <c r="K33" s="46"/>
      <c r="L33" s="56"/>
      <c r="M33" s="56"/>
      <c r="N33" s="56"/>
    </row>
    <row r="34" spans="10:14" x14ac:dyDescent="0.2">
      <c r="J34" s="30" t="s">
        <v>479</v>
      </c>
      <c r="K34" s="56">
        <f>SUM(K32:K33)</f>
        <v>0</v>
      </c>
      <c r="L34" s="56">
        <f>SUM(L32:L33)</f>
        <v>0</v>
      </c>
      <c r="M34" s="56">
        <f>SUM(M32:M33)</f>
        <v>0.01</v>
      </c>
      <c r="N34" s="56">
        <f>SUM(N32:N33)</f>
        <v>0</v>
      </c>
    </row>
    <row r="35" spans="10:14" x14ac:dyDescent="0.2">
      <c r="J35" s="30" t="s">
        <v>438</v>
      </c>
      <c r="K35" s="59">
        <f>K34*TablaPrecios[[#This Row],[Costo]]</f>
        <v>0</v>
      </c>
      <c r="L35" s="59">
        <f>L34*TablaPrecios[[#This Row],[Costo]]</f>
        <v>0</v>
      </c>
      <c r="M35" s="59">
        <f>M34*TablaPrecios[[#This Row],[Costo]]</f>
        <v>0</v>
      </c>
      <c r="N35" s="59">
        <f>N34*'Costo Materia Prima'!$I$56</f>
        <v>0</v>
      </c>
    </row>
  </sheetData>
  <mergeCells count="9">
    <mergeCell ref="P19:U19"/>
    <mergeCell ref="J24:N24"/>
    <mergeCell ref="J30:N30"/>
    <mergeCell ref="C2:H2"/>
    <mergeCell ref="J3:N3"/>
    <mergeCell ref="P3:U3"/>
    <mergeCell ref="J10:N10"/>
    <mergeCell ref="P12:U12"/>
    <mergeCell ref="J18:N18"/>
  </mergeCells>
  <pageMargins left="0.7" right="0.7" top="0.75" bottom="0.75" header="0.3" footer="0.3"/>
  <pageSetup orientation="portrait" horizontalDpi="0" verticalDpi="0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B3BE31-E078-4FB4-9ACB-AC4CFBC13266}">
  <dimension ref="A1:M21"/>
  <sheetViews>
    <sheetView workbookViewId="0"/>
  </sheetViews>
  <sheetFormatPr baseColWidth="10" defaultRowHeight="15" x14ac:dyDescent="0.2"/>
  <cols>
    <col min="1" max="1" width="13.5" customWidth="1"/>
    <col min="2" max="2" width="21.83203125" customWidth="1"/>
    <col min="3" max="3" width="21.6640625" customWidth="1"/>
    <col min="4" max="5" width="21.83203125" customWidth="1"/>
    <col min="6" max="6" width="23.83203125" bestFit="1" customWidth="1"/>
    <col min="7" max="7" width="7.6640625" customWidth="1"/>
    <col min="8" max="8" width="13.1640625" customWidth="1"/>
    <col min="9" max="9" width="22.1640625" customWidth="1"/>
    <col min="10" max="10" width="12.33203125" bestFit="1" customWidth="1"/>
    <col min="14" max="14" width="23.6640625" bestFit="1" customWidth="1"/>
    <col min="15" max="15" width="12.5" customWidth="1"/>
    <col min="16" max="16" width="15.5" customWidth="1"/>
    <col min="17" max="17" width="18.83203125" bestFit="1" customWidth="1"/>
    <col min="18" max="18" width="10.5" bestFit="1" customWidth="1"/>
    <col min="19" max="19" width="9" customWidth="1"/>
    <col min="20" max="20" width="8.83203125" customWidth="1"/>
    <col min="21" max="21" width="10.33203125" customWidth="1"/>
    <col min="16384" max="16384" width="11.5" bestFit="1" customWidth="1"/>
  </cols>
  <sheetData>
    <row r="1" spans="1:13" x14ac:dyDescent="0.2">
      <c r="B1" s="245">
        <v>1</v>
      </c>
      <c r="C1" s="245">
        <v>2</v>
      </c>
      <c r="D1" s="245">
        <v>3</v>
      </c>
      <c r="E1" s="245">
        <v>4</v>
      </c>
      <c r="F1" s="245">
        <v>5</v>
      </c>
    </row>
    <row r="2" spans="1:13" ht="16" thickBot="1" x14ac:dyDescent="0.25">
      <c r="B2" s="243" t="s">
        <v>736</v>
      </c>
      <c r="C2" s="240" t="s">
        <v>738</v>
      </c>
      <c r="D2" s="241" t="s">
        <v>737</v>
      </c>
      <c r="E2" s="242" t="s">
        <v>739</v>
      </c>
      <c r="F2" s="242" t="s">
        <v>744</v>
      </c>
      <c r="G2" s="18"/>
      <c r="H2" s="340" t="s">
        <v>484</v>
      </c>
      <c r="I2" s="341"/>
      <c r="J2" s="342"/>
    </row>
    <row r="3" spans="1:13" x14ac:dyDescent="0.2">
      <c r="A3" t="s">
        <v>113</v>
      </c>
      <c r="B3" s="13">
        <f>'Costo Materia Prima'!I47</f>
        <v>0.40029399999999998</v>
      </c>
      <c r="C3" s="13" t="e">
        <f>Bollos!#REF!</f>
        <v>#REF!</v>
      </c>
      <c r="D3" s="13" t="e">
        <f>Bollos!#REF!</f>
        <v>#REF!</v>
      </c>
      <c r="E3" s="13">
        <f>'Costo Materia Prima'!$I$47</f>
        <v>0.40029399999999998</v>
      </c>
      <c r="F3" s="13">
        <f>'Costo Materia Prima'!$I$47</f>
        <v>0.40029399999999998</v>
      </c>
      <c r="H3" s="4" t="s">
        <v>345</v>
      </c>
      <c r="I3" s="4" t="s">
        <v>485</v>
      </c>
      <c r="J3" s="4" t="s">
        <v>188</v>
      </c>
    </row>
    <row r="4" spans="1:13" x14ac:dyDescent="0.2">
      <c r="A4" t="s">
        <v>488</v>
      </c>
      <c r="B4" s="13">
        <f>'Insumos 2'!X114</f>
        <v>2.8153353506769827</v>
      </c>
      <c r="C4" s="13">
        <f>Bollos!$D$4</f>
        <v>3.1802048776362453</v>
      </c>
      <c r="D4" s="13">
        <f>Bollos!$D$4</f>
        <v>3.1802048776362453</v>
      </c>
      <c r="E4" s="13">
        <f>'Insumos 2'!$X$114</f>
        <v>2.8153353506769827</v>
      </c>
      <c r="F4" s="13">
        <f>'Insumos 2'!$X$114</f>
        <v>2.8153353506769827</v>
      </c>
      <c r="H4" s="244">
        <v>3.5000000000000003E-2</v>
      </c>
      <c r="I4" s="244">
        <v>3.5000000000000003E-2</v>
      </c>
      <c r="J4" s="244">
        <v>0.04</v>
      </c>
    </row>
    <row r="5" spans="1:13" x14ac:dyDescent="0.2">
      <c r="A5" t="s">
        <v>489</v>
      </c>
      <c r="B5" s="13">
        <f>$I$4*'Insumos 1'!$G$5</f>
        <v>2.9762551924473497</v>
      </c>
      <c r="C5" s="13">
        <f>$I$4*'Insumos 1'!$G$5</f>
        <v>2.9762551924473497</v>
      </c>
      <c r="D5" s="13">
        <f>$I$4*'Insumos 1'!$G$5</f>
        <v>2.9762551924473497</v>
      </c>
      <c r="E5" s="13">
        <f>H4*'Insumos 1'!$G$13</f>
        <v>3.2426287864782122</v>
      </c>
      <c r="F5" s="13">
        <f>I4*'Insumos 1'!$G$13</f>
        <v>3.2426287864782122</v>
      </c>
      <c r="H5" s="12"/>
    </row>
    <row r="6" spans="1:13" x14ac:dyDescent="0.2">
      <c r="A6" t="s">
        <v>481</v>
      </c>
      <c r="B6" s="13">
        <f>$J$4*'Costo Materia Prima'!$I$83</f>
        <v>4.5600000000000005</v>
      </c>
      <c r="C6" s="13">
        <f>$J$4*'Costo Materia Prima'!$I$83</f>
        <v>4.5600000000000005</v>
      </c>
      <c r="D6" s="13">
        <f>$J$4*'Costo Materia Prima'!$I$83</f>
        <v>4.5600000000000005</v>
      </c>
      <c r="E6" s="13">
        <f>$J$4*'Costo Materia Prima'!$I$83</f>
        <v>4.5600000000000005</v>
      </c>
      <c r="F6" s="13">
        <f>$J$4*'Costo Materia Prima'!$I$83</f>
        <v>4.5600000000000005</v>
      </c>
      <c r="H6" s="12"/>
    </row>
    <row r="7" spans="1:13" x14ac:dyDescent="0.2">
      <c r="A7" t="s">
        <v>490</v>
      </c>
      <c r="B7" s="13">
        <f>K15+L10</f>
        <v>1.6077600000000001</v>
      </c>
    </row>
    <row r="8" spans="1:13" x14ac:dyDescent="0.2">
      <c r="A8" t="s">
        <v>491</v>
      </c>
      <c r="C8" s="13">
        <f>K14</f>
        <v>0.36180000000000001</v>
      </c>
    </row>
    <row r="9" spans="1:13" x14ac:dyDescent="0.2">
      <c r="A9" t="s">
        <v>492</v>
      </c>
      <c r="D9" s="13">
        <f>K13</f>
        <v>0.16200000000000001</v>
      </c>
      <c r="H9" s="123" t="s">
        <v>752</v>
      </c>
      <c r="I9" s="123" t="s">
        <v>748</v>
      </c>
      <c r="J9" s="123" t="s">
        <v>438</v>
      </c>
      <c r="K9" s="123" t="s">
        <v>751</v>
      </c>
    </row>
    <row r="10" spans="1:13" x14ac:dyDescent="0.2">
      <c r="A10" t="s">
        <v>741</v>
      </c>
      <c r="E10" s="13">
        <f>L10+K16+K17</f>
        <v>1.2554800000000002</v>
      </c>
      <c r="H10" s="163">
        <v>1</v>
      </c>
      <c r="I10" t="s">
        <v>745</v>
      </c>
      <c r="J10" s="5">
        <v>345.6</v>
      </c>
      <c r="K10" s="13">
        <f>J10/1000</f>
        <v>0.34560000000000002</v>
      </c>
      <c r="L10" s="13">
        <f>K10+K11+K12</f>
        <v>0.8877600000000001</v>
      </c>
      <c r="M10" s="13"/>
    </row>
    <row r="11" spans="1:13" x14ac:dyDescent="0.2">
      <c r="A11" t="s">
        <v>742</v>
      </c>
      <c r="F11" s="13">
        <f>L10+K13</f>
        <v>1.04976</v>
      </c>
      <c r="H11" s="163">
        <v>1</v>
      </c>
      <c r="I11" t="s">
        <v>747</v>
      </c>
      <c r="J11" s="5">
        <v>237.6</v>
      </c>
      <c r="K11" s="13">
        <f>J11/1000</f>
        <v>0.23760000000000001</v>
      </c>
    </row>
    <row r="12" spans="1:13" x14ac:dyDescent="0.2">
      <c r="A12" t="s">
        <v>743</v>
      </c>
      <c r="B12" s="13"/>
      <c r="C12" s="13">
        <f>$K$18</f>
        <v>0.31320999999999999</v>
      </c>
      <c r="D12" s="13"/>
      <c r="E12" s="13">
        <f>$K$18</f>
        <v>0.31320999999999999</v>
      </c>
      <c r="F12" s="13">
        <f>$K$18</f>
        <v>0.31320999999999999</v>
      </c>
      <c r="H12" s="163">
        <v>1</v>
      </c>
      <c r="I12" t="s">
        <v>753</v>
      </c>
      <c r="J12" s="5">
        <v>304.56</v>
      </c>
      <c r="K12" s="13">
        <f>J12/1000</f>
        <v>0.30456</v>
      </c>
    </row>
    <row r="13" spans="1:13" ht="16" thickBot="1" x14ac:dyDescent="0.25">
      <c r="A13" s="98"/>
      <c r="B13" s="98"/>
      <c r="C13" s="98"/>
      <c r="D13" s="98"/>
      <c r="E13" s="98"/>
      <c r="F13" s="98"/>
      <c r="H13" s="163">
        <v>0.45400000000000001</v>
      </c>
      <c r="I13" t="s">
        <v>746</v>
      </c>
      <c r="J13" s="5">
        <v>162</v>
      </c>
      <c r="K13" s="13">
        <f>J13/1000</f>
        <v>0.16200000000000001</v>
      </c>
    </row>
    <row r="14" spans="1:13" ht="16" thickTop="1" x14ac:dyDescent="0.2">
      <c r="A14" s="20" t="s">
        <v>455</v>
      </c>
      <c r="B14" s="95">
        <f>SUM(B3:B13)</f>
        <v>12.359644543124334</v>
      </c>
      <c r="C14" s="95" t="e">
        <f>SUM(C3:C13)</f>
        <v>#REF!</v>
      </c>
      <c r="D14" s="95" t="e">
        <f>SUM(D3:D13)</f>
        <v>#REF!</v>
      </c>
      <c r="E14" s="95">
        <f>SUM(E3:E13)</f>
        <v>12.586948137155195</v>
      </c>
      <c r="F14" s="95">
        <f>SUM(F3:F13)</f>
        <v>12.381228137155196</v>
      </c>
      <c r="H14" s="163">
        <v>1</v>
      </c>
      <c r="I14" t="s">
        <v>749</v>
      </c>
      <c r="J14" s="5">
        <v>361.8</v>
      </c>
      <c r="K14" s="13">
        <f>J14/1000</f>
        <v>0.36180000000000001</v>
      </c>
    </row>
    <row r="15" spans="1:13" ht="16" thickBot="1" x14ac:dyDescent="0.25">
      <c r="A15" s="98" t="s">
        <v>493</v>
      </c>
      <c r="B15" s="100">
        <f>'Insumos 3'!$X$9-'Insumos 3'!$X$4</f>
        <v>4.1651800000000003</v>
      </c>
      <c r="C15" s="100">
        <f>'Insumos 3'!$X$9-'Insumos 3'!$X$4</f>
        <v>4.1651800000000003</v>
      </c>
      <c r="D15" s="100">
        <f>'Insumos 3'!$X$9-'Insumos 3'!$X$4</f>
        <v>4.1651800000000003</v>
      </c>
      <c r="E15" s="100">
        <f>'Insumos 3'!$X$9-'Insumos 3'!$X$4</f>
        <v>4.1651800000000003</v>
      </c>
      <c r="F15" s="100">
        <f>'Insumos 3'!$X$9-'Insumos 3'!$X$4</f>
        <v>4.1651800000000003</v>
      </c>
      <c r="H15" s="163">
        <v>144</v>
      </c>
      <c r="I15" t="s">
        <v>750</v>
      </c>
      <c r="J15" s="5">
        <v>200</v>
      </c>
      <c r="K15" s="13">
        <f>H15/J15</f>
        <v>0.72</v>
      </c>
    </row>
    <row r="16" spans="1:13" ht="16" thickTop="1" x14ac:dyDescent="0.2">
      <c r="A16" s="20" t="s">
        <v>494</v>
      </c>
      <c r="B16" s="95">
        <f>SUM(B14:B15)</f>
        <v>16.524824543124335</v>
      </c>
      <c r="C16" s="95" t="e">
        <f>SUM(C14:C15)</f>
        <v>#REF!</v>
      </c>
      <c r="D16" s="95" t="e">
        <f>SUM(D14:D15)</f>
        <v>#REF!</v>
      </c>
      <c r="E16" s="95">
        <f>SUM(E14:E15)</f>
        <v>16.752128137155196</v>
      </c>
      <c r="F16" s="95">
        <f>SUM(F14:F15)</f>
        <v>16.546408137155197</v>
      </c>
      <c r="H16" s="163">
        <v>1</v>
      </c>
      <c r="I16" t="s">
        <v>740</v>
      </c>
      <c r="J16" s="5">
        <v>250</v>
      </c>
      <c r="K16" s="13">
        <f>J16/1000</f>
        <v>0.25</v>
      </c>
    </row>
    <row r="17" spans="1:11" x14ac:dyDescent="0.2">
      <c r="H17" s="163">
        <v>1</v>
      </c>
      <c r="I17" t="s">
        <v>754</v>
      </c>
      <c r="J17" s="13">
        <f>'Costo Materia Prima'!I150</f>
        <v>117.72</v>
      </c>
      <c r="K17" s="13">
        <f>J17/1000</f>
        <v>0.11772000000000001</v>
      </c>
    </row>
    <row r="18" spans="1:11" x14ac:dyDescent="0.2">
      <c r="A18" s="20" t="s">
        <v>756</v>
      </c>
      <c r="B18" s="246">
        <f>B16/(1-0.55)</f>
        <v>36.721832318054084</v>
      </c>
      <c r="C18" s="246" t="e">
        <f>C16/(1-0.55)</f>
        <v>#REF!</v>
      </c>
      <c r="D18" s="246" t="e">
        <f>D16/(1-0.55)</f>
        <v>#REF!</v>
      </c>
      <c r="E18" s="246">
        <f>E16/(1-0.55)</f>
        <v>37.226951415900437</v>
      </c>
      <c r="F18" s="246">
        <f>F16/(1-0.55)</f>
        <v>36.769795860344885</v>
      </c>
      <c r="H18" s="163">
        <v>0.29799999999999999</v>
      </c>
      <c r="I18" t="s">
        <v>755</v>
      </c>
      <c r="J18" s="13">
        <f>'Costo Materia Prima'!H14</f>
        <v>313.20999999999998</v>
      </c>
      <c r="K18" s="13">
        <f>J18/1000</f>
        <v>0.31320999999999999</v>
      </c>
    </row>
    <row r="21" spans="1:11" x14ac:dyDescent="0.2">
      <c r="B21" s="13"/>
      <c r="C21" s="13"/>
      <c r="D21" s="13"/>
      <c r="E21" s="13"/>
      <c r="F21" s="13"/>
    </row>
  </sheetData>
  <mergeCells count="1">
    <mergeCell ref="H2:J2"/>
  </mergeCells>
  <pageMargins left="0.7" right="0.7" top="0.75" bottom="0.75" header="0.3" footer="0.3"/>
  <pageSetup scale="80" orientation="landscape" horizontalDpi="4294967292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2F489E-B79F-B140-878B-0C2D4D8DF85D}">
  <sheetPr codeName="Hoja23"/>
  <dimension ref="A2:J29"/>
  <sheetViews>
    <sheetView zoomScale="120" zoomScaleNormal="120" workbookViewId="0">
      <selection activeCell="E6" sqref="E6"/>
    </sheetView>
  </sheetViews>
  <sheetFormatPr baseColWidth="10" defaultColWidth="11.5" defaultRowHeight="15" x14ac:dyDescent="0.2"/>
  <cols>
    <col min="1" max="1" width="17" customWidth="1"/>
    <col min="2" max="2" width="19.5" bestFit="1" customWidth="1"/>
    <col min="3" max="3" width="10.1640625" bestFit="1" customWidth="1"/>
    <col min="4" max="4" width="8.83203125" bestFit="1" customWidth="1"/>
    <col min="5" max="5" width="9" bestFit="1" customWidth="1"/>
    <col min="6" max="6" width="9.6640625" bestFit="1" customWidth="1"/>
    <col min="7" max="7" width="9" bestFit="1" customWidth="1"/>
    <col min="8" max="8" width="9.5" bestFit="1" customWidth="1"/>
    <col min="9" max="9" width="9" bestFit="1" customWidth="1"/>
    <col min="10" max="10" width="8.6640625" customWidth="1"/>
  </cols>
  <sheetData>
    <row r="2" spans="1:10" ht="16" thickBot="1" x14ac:dyDescent="0.25">
      <c r="C2" s="313" t="s">
        <v>444</v>
      </c>
      <c r="D2" s="313"/>
      <c r="E2" s="313"/>
      <c r="F2" s="313"/>
      <c r="G2" s="313"/>
      <c r="H2" s="313"/>
      <c r="I2" s="313"/>
      <c r="J2" s="313"/>
    </row>
    <row r="3" spans="1:10" x14ac:dyDescent="0.2">
      <c r="C3" s="344" t="s">
        <v>375</v>
      </c>
      <c r="D3" s="345"/>
      <c r="E3" s="344" t="s">
        <v>372</v>
      </c>
      <c r="F3" s="345"/>
      <c r="G3" s="344" t="s">
        <v>373</v>
      </c>
      <c r="H3" s="345"/>
      <c r="I3" s="310" t="s">
        <v>413</v>
      </c>
      <c r="J3" s="310"/>
    </row>
    <row r="4" spans="1:10" ht="16" thickBot="1" x14ac:dyDescent="0.25">
      <c r="A4" s="15"/>
      <c r="B4" s="143" t="s">
        <v>445</v>
      </c>
      <c r="C4" s="145" t="s">
        <v>4</v>
      </c>
      <c r="D4" s="145" t="s">
        <v>7</v>
      </c>
      <c r="E4" s="145" t="s">
        <v>4</v>
      </c>
      <c r="F4" s="145" t="s">
        <v>7</v>
      </c>
      <c r="G4" s="145" t="s">
        <v>4</v>
      </c>
      <c r="H4" s="145" t="s">
        <v>7</v>
      </c>
      <c r="I4" s="145" t="s">
        <v>4</v>
      </c>
      <c r="J4" s="144" t="s">
        <v>7</v>
      </c>
    </row>
    <row r="5" spans="1:10" ht="15" customHeight="1" x14ac:dyDescent="0.2">
      <c r="A5" s="346" t="s">
        <v>505</v>
      </c>
      <c r="B5" s="18" t="s">
        <v>506</v>
      </c>
      <c r="C5" s="119">
        <v>0</v>
      </c>
      <c r="D5" s="120">
        <f>C5*'Insumos 2'!G4</f>
        <v>0</v>
      </c>
      <c r="E5" s="119">
        <v>0.22</v>
      </c>
      <c r="F5" s="120">
        <f>E5*'Insumos 2'!G4</f>
        <v>15.961506529209622</v>
      </c>
      <c r="G5" s="119">
        <v>0.35</v>
      </c>
      <c r="H5" s="120">
        <f>G5*'Insumos 2'!G4</f>
        <v>25.393305841924398</v>
      </c>
      <c r="I5" s="163"/>
      <c r="J5" s="163"/>
    </row>
    <row r="6" spans="1:10" ht="15" customHeight="1" x14ac:dyDescent="0.2">
      <c r="A6" s="346"/>
      <c r="B6" s="18" t="s">
        <v>81</v>
      </c>
      <c r="C6" s="119"/>
      <c r="D6" s="120"/>
      <c r="E6" s="119">
        <f>0.0114</f>
        <v>1.14E-2</v>
      </c>
      <c r="F6" s="5">
        <f>VLOOKUP(B6,TablaPrecios[[Producto]:[Costo]],6,FALSE)*E6</f>
        <v>2.2686000000000002</v>
      </c>
      <c r="G6" s="119">
        <f>0.0182</f>
        <v>1.8200000000000001E-2</v>
      </c>
      <c r="H6" s="120">
        <f>VLOOKUP(B6,TablaPrecios[[Producto]:[Costo]],6,FALSE)*G6</f>
        <v>3.6218000000000004</v>
      </c>
      <c r="I6" s="163"/>
      <c r="J6" s="163"/>
    </row>
    <row r="7" spans="1:10" ht="15" customHeight="1" x14ac:dyDescent="0.2">
      <c r="A7" s="346"/>
      <c r="B7" s="18" t="s">
        <v>179</v>
      </c>
      <c r="C7" s="119"/>
      <c r="D7" s="120"/>
      <c r="E7" s="119">
        <f>0.385</f>
        <v>0.38500000000000001</v>
      </c>
      <c r="F7" s="5">
        <f>VLOOKUP(B7,TablaPrecios[[Producto]:[Costo]],6,FALSE)*E7</f>
        <v>5.7417466410748563</v>
      </c>
      <c r="G7" s="119">
        <v>0.57999999999999996</v>
      </c>
      <c r="H7" s="120">
        <f>VLOOKUP(B7,TablaPrecios[[Producto]:[Costo]],6,FALSE)*G7</f>
        <v>8.6499040307101733</v>
      </c>
      <c r="I7" s="163"/>
      <c r="J7" s="163"/>
    </row>
    <row r="8" spans="1:10" x14ac:dyDescent="0.2">
      <c r="A8" s="343"/>
      <c r="B8" s="18" t="s">
        <v>349</v>
      </c>
      <c r="C8" s="119">
        <v>0</v>
      </c>
      <c r="D8" s="120">
        <f>C8*'Insumos 2'!G19</f>
        <v>0</v>
      </c>
      <c r="E8" s="119">
        <v>0.64</v>
      </c>
      <c r="F8" s="120">
        <f>E8*'Insumos 1'!G41</f>
        <v>16.210018088624338</v>
      </c>
      <c r="G8" s="119">
        <v>1.1000000000000001</v>
      </c>
      <c r="H8" s="120">
        <f>G8*'Insumos 1'!G41</f>
        <v>27.860968589823084</v>
      </c>
      <c r="I8" s="163"/>
      <c r="J8" s="163"/>
    </row>
    <row r="9" spans="1:10" x14ac:dyDescent="0.2">
      <c r="A9" s="343"/>
      <c r="B9" s="18" t="s">
        <v>188</v>
      </c>
      <c r="C9" s="119"/>
      <c r="D9" s="120"/>
      <c r="E9" s="119">
        <v>1.7999999999999999E-2</v>
      </c>
      <c r="F9" s="120">
        <f>VLOOKUP(B9,'Costo Materia Prima'!$D$3:$I$409,6,FALSE)*E9</f>
        <v>2.052</v>
      </c>
      <c r="G9" s="260">
        <v>0.15</v>
      </c>
      <c r="H9" s="120">
        <f>VLOOKUP(B9,'Costo Materia Prima'!$D$3:$I$409,6,FALSE)*G9</f>
        <v>17.099999999999998</v>
      </c>
      <c r="I9" s="163"/>
      <c r="J9" s="163"/>
    </row>
    <row r="10" spans="1:10" x14ac:dyDescent="0.2">
      <c r="A10" s="343"/>
      <c r="B10" s="18" t="s">
        <v>345</v>
      </c>
      <c r="C10" s="119">
        <v>0</v>
      </c>
      <c r="D10" s="120">
        <f>C10*'Insumos 1'!G13</f>
        <v>0</v>
      </c>
      <c r="E10" s="119">
        <v>0.3</v>
      </c>
      <c r="F10" s="120">
        <f>E10*'Insumos 1'!G13</f>
        <v>27.793961026956101</v>
      </c>
      <c r="G10" s="119">
        <v>0.51</v>
      </c>
      <c r="H10" s="120">
        <f>G10*'Insumos 1'!G13</f>
        <v>47.249733745825374</v>
      </c>
      <c r="I10" s="163"/>
      <c r="J10" s="163"/>
    </row>
    <row r="11" spans="1:10" ht="16" thickBot="1" x14ac:dyDescent="0.25">
      <c r="A11" s="343"/>
      <c r="B11" s="138" t="s">
        <v>502</v>
      </c>
      <c r="C11" s="133"/>
      <c r="D11" s="129">
        <f>SUM(D5:D10)</f>
        <v>0</v>
      </c>
      <c r="E11" s="130"/>
      <c r="F11" s="129">
        <f>SUM(F5:F10)</f>
        <v>70.027832285864918</v>
      </c>
      <c r="G11" s="130"/>
      <c r="H11" s="129">
        <f>SUM(H5:H10)</f>
        <v>129.87571220828303</v>
      </c>
      <c r="I11" s="133"/>
      <c r="J11" s="130">
        <f>(H11+H17)/5</f>
        <v>28.697955774989943</v>
      </c>
    </row>
    <row r="12" spans="1:10" ht="15" customHeight="1" thickTop="1" x14ac:dyDescent="0.2">
      <c r="A12" s="343" t="s">
        <v>507</v>
      </c>
      <c r="B12" s="18" t="s">
        <v>237</v>
      </c>
      <c r="C12" s="163"/>
      <c r="D12" s="163"/>
      <c r="E12" s="163">
        <v>1</v>
      </c>
      <c r="F12" s="120">
        <f>VLOOKUP(B12,'Costo Materia Prima'!$D$3:$I$409,6,FALSE)*E12</f>
        <v>7.3099399999999992</v>
      </c>
      <c r="G12" s="163"/>
      <c r="H12" s="163"/>
      <c r="I12" s="163"/>
      <c r="J12" s="163"/>
    </row>
    <row r="13" spans="1:10" x14ac:dyDescent="0.2">
      <c r="A13" s="343"/>
      <c r="B13" s="18" t="s">
        <v>167</v>
      </c>
      <c r="C13" s="163"/>
      <c r="D13" s="163"/>
      <c r="E13" s="163">
        <v>1</v>
      </c>
      <c r="F13" s="120">
        <f>VLOOKUP(B13,'Costo Materia Prima'!$D$3:$I$409,6,FALSE)*E13</f>
        <v>0.42919999999999997</v>
      </c>
      <c r="G13" s="163"/>
      <c r="H13" s="163"/>
      <c r="I13" s="163"/>
      <c r="J13" s="163"/>
    </row>
    <row r="14" spans="1:10" x14ac:dyDescent="0.2">
      <c r="A14" s="343"/>
      <c r="B14" s="18" t="s">
        <v>243</v>
      </c>
      <c r="C14" s="163"/>
      <c r="D14" s="163"/>
      <c r="E14" s="163">
        <v>1</v>
      </c>
      <c r="F14" s="120">
        <f>VLOOKUP(B14,'Costo Materia Prima'!$D$3:$I$409,6,FALSE)*E14</f>
        <v>6.0373100000000006</v>
      </c>
      <c r="G14" s="163"/>
      <c r="H14" s="163"/>
      <c r="I14" s="163"/>
      <c r="J14" s="163"/>
    </row>
    <row r="15" spans="1:10" x14ac:dyDescent="0.2">
      <c r="A15" s="343"/>
      <c r="B15" s="18" t="s">
        <v>169</v>
      </c>
      <c r="C15" s="163"/>
      <c r="D15" s="163"/>
      <c r="E15" s="163">
        <v>1</v>
      </c>
      <c r="F15" s="120">
        <f>VLOOKUP(B15,'Costo Materia Prima'!$D$3:$I$409,6,FALSE)*E15</f>
        <v>0.55679999999999996</v>
      </c>
      <c r="G15" s="163"/>
      <c r="H15" s="163"/>
      <c r="I15" s="163"/>
      <c r="J15" s="163"/>
    </row>
    <row r="16" spans="1:10" ht="16" thickBot="1" x14ac:dyDescent="0.25">
      <c r="A16" s="343"/>
      <c r="B16" s="138" t="s">
        <v>502</v>
      </c>
      <c r="C16" s="134"/>
      <c r="D16" s="133"/>
      <c r="E16" s="133"/>
      <c r="F16" s="129">
        <f>SUM(F12:F15)</f>
        <v>14.33325</v>
      </c>
      <c r="G16" s="133"/>
      <c r="H16" s="133"/>
      <c r="I16" s="133"/>
      <c r="J16" s="133"/>
    </row>
    <row r="17" spans="1:10" ht="16" thickTop="1" x14ac:dyDescent="0.2">
      <c r="A17" s="343"/>
      <c r="B17" s="18" t="s">
        <v>240</v>
      </c>
      <c r="C17" s="163"/>
      <c r="D17" s="163"/>
      <c r="E17" s="163"/>
      <c r="F17" s="163"/>
      <c r="G17" s="163">
        <v>1</v>
      </c>
      <c r="H17" s="120">
        <f>VLOOKUP(B17,'Costo Materia Prima'!$D$3:$I$409,6,FALSE)*G17</f>
        <v>13.614066666666666</v>
      </c>
      <c r="I17" s="163"/>
      <c r="J17" s="163"/>
    </row>
    <row r="18" spans="1:10" x14ac:dyDescent="0.2">
      <c r="A18" s="343"/>
      <c r="B18" s="18" t="s">
        <v>167</v>
      </c>
      <c r="C18" s="163"/>
      <c r="D18" s="163"/>
      <c r="E18" s="163"/>
      <c r="F18" s="163"/>
      <c r="G18" s="163">
        <v>1</v>
      </c>
      <c r="H18" s="120">
        <f>VLOOKUP(B18,'Costo Materia Prima'!$D$3:$I$409,6,FALSE)*G18</f>
        <v>0.42919999999999997</v>
      </c>
      <c r="I18" s="163"/>
      <c r="J18" s="163"/>
    </row>
    <row r="19" spans="1:10" x14ac:dyDescent="0.2">
      <c r="A19" s="343"/>
      <c r="B19" s="18" t="s">
        <v>234</v>
      </c>
      <c r="C19" s="163"/>
      <c r="D19" s="163"/>
      <c r="E19" s="163"/>
      <c r="F19" s="163"/>
      <c r="G19" s="163">
        <v>1</v>
      </c>
      <c r="H19" s="120">
        <f>VLOOKUP(B19,'Costo Materia Prima'!$D$3:$I$409,6,FALSE)*G19</f>
        <v>12.475299999999999</v>
      </c>
      <c r="I19" s="163"/>
      <c r="J19" s="163"/>
    </row>
    <row r="20" spans="1:10" ht="16" thickBot="1" x14ac:dyDescent="0.25">
      <c r="A20" s="343"/>
      <c r="B20" s="138" t="s">
        <v>169</v>
      </c>
      <c r="C20" s="133"/>
      <c r="D20" s="133"/>
      <c r="E20" s="133"/>
      <c r="F20" s="133"/>
      <c r="G20" s="133">
        <v>1</v>
      </c>
      <c r="H20" s="129">
        <f>VLOOKUP(B20,'Costo Materia Prima'!$D$3:$I$409,6,FALSE)*G20</f>
        <v>0.55679999999999996</v>
      </c>
      <c r="I20" s="133"/>
      <c r="J20" s="133"/>
    </row>
    <row r="21" spans="1:10" ht="17" thickTop="1" thickBot="1" x14ac:dyDescent="0.25">
      <c r="A21" s="343"/>
      <c r="B21" s="139" t="s">
        <v>502</v>
      </c>
      <c r="C21" s="135"/>
      <c r="D21" s="135"/>
      <c r="E21" s="135"/>
      <c r="F21" s="135"/>
      <c r="G21" s="136"/>
      <c r="H21" s="131">
        <f>SUM(H17:H20)</f>
        <v>27.075366666666664</v>
      </c>
      <c r="I21" s="135"/>
      <c r="J21" s="135"/>
    </row>
    <row r="22" spans="1:10" ht="16" thickTop="1" x14ac:dyDescent="0.2">
      <c r="A22" s="343"/>
      <c r="B22" s="18" t="s">
        <v>246</v>
      </c>
      <c r="C22" s="163"/>
      <c r="D22" s="163"/>
      <c r="E22" s="163"/>
      <c r="F22" s="163"/>
      <c r="G22" s="163"/>
      <c r="H22" s="163"/>
      <c r="I22" s="163">
        <v>1</v>
      </c>
      <c r="J22" s="120">
        <f>VLOOKUP(B22,'Costo Materia Prima'!$D$3:$I$409,6,FALSE)*I22</f>
        <v>2.2654399999999999</v>
      </c>
    </row>
    <row r="23" spans="1:10" x14ac:dyDescent="0.2">
      <c r="A23" s="343"/>
      <c r="B23" s="18" t="s">
        <v>173</v>
      </c>
      <c r="C23" s="163"/>
      <c r="D23" s="163"/>
      <c r="E23" s="163"/>
      <c r="F23" s="163"/>
      <c r="G23" s="163"/>
      <c r="H23" s="163"/>
      <c r="I23" s="163">
        <v>1</v>
      </c>
      <c r="J23" s="120">
        <f>VLOOKUP(B23,'Costo Materia Prima'!$D$3:$I$409,6,FALSE)*I23</f>
        <v>0.25519999999999998</v>
      </c>
    </row>
    <row r="24" spans="1:10" x14ac:dyDescent="0.2">
      <c r="A24" s="343"/>
      <c r="B24" s="18" t="s">
        <v>155</v>
      </c>
      <c r="C24" s="163"/>
      <c r="D24" s="163"/>
      <c r="E24" s="163"/>
      <c r="F24" s="163"/>
      <c r="G24" s="163"/>
      <c r="H24" s="163"/>
      <c r="I24" s="163">
        <v>1</v>
      </c>
      <c r="J24" s="120">
        <f>VLOOKUP(B24,'Costo Materia Prima'!$D$3:$I$409,6,FALSE)*I24</f>
        <v>0.13</v>
      </c>
    </row>
    <row r="25" spans="1:10" x14ac:dyDescent="0.2">
      <c r="A25" s="343"/>
      <c r="B25" s="18" t="s">
        <v>406</v>
      </c>
      <c r="C25" s="163"/>
      <c r="D25" s="163"/>
      <c r="E25" s="163"/>
      <c r="F25" s="163"/>
      <c r="G25" s="163"/>
      <c r="H25" s="163"/>
      <c r="I25" s="163">
        <v>1</v>
      </c>
      <c r="J25" s="120">
        <v>0.05</v>
      </c>
    </row>
    <row r="26" spans="1:10" ht="16" thickBot="1" x14ac:dyDescent="0.25">
      <c r="A26" s="343"/>
      <c r="B26" s="138" t="s">
        <v>502</v>
      </c>
      <c r="C26" s="133"/>
      <c r="D26" s="133"/>
      <c r="E26" s="133"/>
      <c r="F26" s="133"/>
      <c r="G26" s="133"/>
      <c r="H26" s="133"/>
      <c r="I26" s="133"/>
      <c r="J26" s="129">
        <f>SUM(J22:J25)</f>
        <v>2.7006399999999995</v>
      </c>
    </row>
    <row r="27" spans="1:10" ht="16" thickTop="1" x14ac:dyDescent="0.2">
      <c r="A27" s="118"/>
    </row>
    <row r="28" spans="1:10" x14ac:dyDescent="0.2">
      <c r="F28" s="13">
        <f>F16+F11</f>
        <v>84.36108228586491</v>
      </c>
      <c r="H28" s="13">
        <f>H21+H11</f>
        <v>156.9510788749497</v>
      </c>
      <c r="J28" s="13">
        <f>J26+J11</f>
        <v>31.398595774989943</v>
      </c>
    </row>
    <row r="29" spans="1:10" x14ac:dyDescent="0.2">
      <c r="F29" s="13">
        <f>F28/(1-0.55)</f>
        <v>187.4690717463665</v>
      </c>
      <c r="G29" s="13">
        <f t="shared" ref="G29:J29" si="0">G28/(1-0.55)</f>
        <v>0</v>
      </c>
      <c r="H29" s="13">
        <f>H28/(1-0.55)</f>
        <v>348.78017527766605</v>
      </c>
      <c r="I29" s="13">
        <f t="shared" si="0"/>
        <v>0</v>
      </c>
      <c r="J29" s="13">
        <f t="shared" si="0"/>
        <v>69.774657277755438</v>
      </c>
    </row>
  </sheetData>
  <mergeCells count="7">
    <mergeCell ref="A12:A26"/>
    <mergeCell ref="C2:J2"/>
    <mergeCell ref="C3:D3"/>
    <mergeCell ref="E3:F3"/>
    <mergeCell ref="G3:H3"/>
    <mergeCell ref="I3:J3"/>
    <mergeCell ref="A5:A11"/>
  </mergeCells>
  <dataValidations disablePrompts="1" count="1">
    <dataValidation type="list" allowBlank="1" showInputMessage="1" showErrorMessage="1" sqref="B12:B21 B26:D26" xr:uid="{AE4B4D38-0EC5-1443-8167-EA3DBC007537}">
      <formula1>ClaveProductos</formula1>
    </dataValidation>
  </dataValidations>
  <pageMargins left="0.7" right="0.7" top="0.75" bottom="0.75" header="0.3" footer="0.3"/>
  <pageSetup orientation="portrait" horizontalDpi="0" verticalDpi="0"/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 xr:uid="{2C5A47CA-AD46-4C4B-A6CE-F98E71C0E512}">
          <x14:formula1>
            <xm:f>'Costo Materia Prima'!$D$3:$D$162</xm:f>
          </x14:formula1>
          <xm:sqref>B12:B15 B9 B22:D24 B17:B20</xm:sqref>
        </x14:dataValidation>
      </x14:dataValidations>
    </ext>
  </extLst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67A1ED-3B54-4BED-B9EF-8EFA10C9FE7C}">
  <sheetPr codeName="Hoja22"/>
  <dimension ref="A2:L63"/>
  <sheetViews>
    <sheetView topLeftCell="B1" zoomScale="114" zoomScaleNormal="100" workbookViewId="0">
      <selection activeCell="H10" sqref="H10"/>
    </sheetView>
  </sheetViews>
  <sheetFormatPr baseColWidth="10" defaultColWidth="11.5" defaultRowHeight="15" x14ac:dyDescent="0.2"/>
  <cols>
    <col min="1" max="1" width="17" customWidth="1"/>
    <col min="2" max="2" width="19.5" bestFit="1" customWidth="1"/>
    <col min="3" max="3" width="10.1640625" bestFit="1" customWidth="1"/>
    <col min="4" max="4" width="8.83203125" bestFit="1" customWidth="1"/>
    <col min="5" max="5" width="10.5" customWidth="1"/>
    <col min="6" max="6" width="9.6640625" bestFit="1" customWidth="1"/>
    <col min="7" max="7" width="10.33203125" customWidth="1"/>
    <col min="8" max="8" width="14.5" bestFit="1" customWidth="1"/>
    <col min="9" max="9" width="9" bestFit="1" customWidth="1"/>
    <col min="10" max="10" width="9" customWidth="1"/>
  </cols>
  <sheetData>
    <row r="2" spans="1:12" ht="16" thickBot="1" x14ac:dyDescent="0.25">
      <c r="C2" s="313" t="s">
        <v>444</v>
      </c>
      <c r="D2" s="313"/>
      <c r="E2" s="313"/>
      <c r="F2" s="313"/>
      <c r="G2" s="313"/>
      <c r="H2" s="313"/>
      <c r="I2" s="313"/>
      <c r="J2" s="313"/>
    </row>
    <row r="3" spans="1:12" x14ac:dyDescent="0.2">
      <c r="C3" s="344" t="s">
        <v>375</v>
      </c>
      <c r="D3" s="345"/>
      <c r="E3" s="344" t="s">
        <v>372</v>
      </c>
      <c r="F3" s="345"/>
      <c r="G3" s="344" t="s">
        <v>373</v>
      </c>
      <c r="H3" s="345"/>
      <c r="I3" s="310" t="s">
        <v>413</v>
      </c>
      <c r="J3" s="310"/>
      <c r="L3" t="s">
        <v>652</v>
      </c>
    </row>
    <row r="4" spans="1:12" ht="16" thickBot="1" x14ac:dyDescent="0.25">
      <c r="A4" s="15"/>
      <c r="B4" s="143" t="s">
        <v>445</v>
      </c>
      <c r="C4" s="145" t="s">
        <v>4</v>
      </c>
      <c r="D4" s="145" t="s">
        <v>7</v>
      </c>
      <c r="E4" s="145" t="s">
        <v>4</v>
      </c>
      <c r="F4" s="145" t="s">
        <v>7</v>
      </c>
      <c r="G4" s="145" t="s">
        <v>4</v>
      </c>
      <c r="H4" s="145" t="s">
        <v>7</v>
      </c>
      <c r="I4" s="145" t="s">
        <v>4</v>
      </c>
      <c r="J4" s="144" t="s">
        <v>7</v>
      </c>
    </row>
    <row r="5" spans="1:12" ht="15" customHeight="1" x14ac:dyDescent="0.2">
      <c r="A5" s="346" t="s">
        <v>505</v>
      </c>
      <c r="B5" s="18" t="s">
        <v>506</v>
      </c>
      <c r="C5" s="119">
        <v>0.05</v>
      </c>
      <c r="D5" s="120">
        <f>C5*'Insumos 2'!G4</f>
        <v>3.6276151202749141</v>
      </c>
      <c r="E5" s="119">
        <v>0.22</v>
      </c>
      <c r="F5" s="120">
        <f>E5*'Insumos 2'!G4</f>
        <v>15.961506529209622</v>
      </c>
      <c r="G5" s="119">
        <v>0.35</v>
      </c>
      <c r="H5" s="120">
        <f>G5*'Insumos 2'!G4</f>
        <v>25.393305841924398</v>
      </c>
      <c r="I5" s="163"/>
      <c r="J5" s="163"/>
    </row>
    <row r="6" spans="1:12" x14ac:dyDescent="0.2">
      <c r="A6" s="343"/>
      <c r="B6" s="18" t="s">
        <v>508</v>
      </c>
      <c r="C6" s="119">
        <v>0.1</v>
      </c>
      <c r="D6" s="120">
        <f>C6*'Insumos 2'!G19</f>
        <v>5.5125303246660984</v>
      </c>
      <c r="E6" s="119">
        <v>0.8</v>
      </c>
      <c r="F6" s="120">
        <f>E6*'Insumos 2'!G19</f>
        <v>44.100242597328787</v>
      </c>
      <c r="G6" s="119">
        <v>1.4</v>
      </c>
      <c r="H6" s="120">
        <f>G6*'Insumos 2'!G19</f>
        <v>77.17542454532537</v>
      </c>
      <c r="I6" s="163"/>
      <c r="J6" s="163"/>
    </row>
    <row r="7" spans="1:12" x14ac:dyDescent="0.2">
      <c r="A7" s="343"/>
      <c r="B7" s="18" t="s">
        <v>345</v>
      </c>
      <c r="C7" s="119">
        <v>0.05</v>
      </c>
      <c r="D7" s="120">
        <f>C7*'Insumos 1'!G137</f>
        <v>4.5582900410654918</v>
      </c>
      <c r="E7" s="119">
        <v>0.3</v>
      </c>
      <c r="F7" s="120">
        <f>E7*'Insumos 1'!G137</f>
        <v>27.349740246392948</v>
      </c>
      <c r="G7" s="119">
        <v>0.5</v>
      </c>
      <c r="H7" s="120">
        <f>G7*'Insumos 1'!G137</f>
        <v>45.582900410654915</v>
      </c>
      <c r="I7" s="163"/>
      <c r="J7" s="163"/>
    </row>
    <row r="8" spans="1:12" x14ac:dyDescent="0.2">
      <c r="A8" s="343"/>
      <c r="B8" s="18"/>
      <c r="C8" s="119"/>
      <c r="D8" s="120"/>
      <c r="E8" s="119"/>
      <c r="F8" s="120">
        <f>E7*[2]INSUMOS!$K$14</f>
        <v>0.32774275020713189</v>
      </c>
      <c r="G8" s="119"/>
      <c r="H8" s="120">
        <f>G7*[2]INSUMOS!$K$14</f>
        <v>0.54623791701188651</v>
      </c>
      <c r="I8" s="163"/>
      <c r="J8" s="163"/>
    </row>
    <row r="9" spans="1:12" x14ac:dyDescent="0.2">
      <c r="A9" s="343"/>
      <c r="B9" s="18" t="s">
        <v>761</v>
      </c>
      <c r="C9" s="119"/>
      <c r="D9" s="120"/>
      <c r="E9" s="119"/>
      <c r="F9" s="120">
        <f>[2]PAN!$L$33</f>
        <v>13.115139353892744</v>
      </c>
      <c r="G9" s="119"/>
      <c r="H9" s="120">
        <f>[2]PAN!$L$32</f>
        <v>19.672709030839115</v>
      </c>
      <c r="I9" s="163"/>
      <c r="J9" s="163"/>
    </row>
    <row r="10" spans="1:12" ht="16" thickBot="1" x14ac:dyDescent="0.25">
      <c r="A10" s="343"/>
      <c r="B10" s="138" t="s">
        <v>502</v>
      </c>
      <c r="C10" s="133"/>
      <c r="D10" s="129">
        <f>SUM(D5:D7)</f>
        <v>13.698435486006504</v>
      </c>
      <c r="E10" s="130"/>
      <c r="F10" s="129">
        <f>SUM(F5:F9)</f>
        <v>100.85437147703124</v>
      </c>
      <c r="G10" s="130"/>
      <c r="H10" s="129">
        <f>SUM(H5:H9)</f>
        <v>168.3705777457557</v>
      </c>
      <c r="I10" s="133"/>
      <c r="J10" s="130">
        <f>H10/8</f>
        <v>21.046322218219462</v>
      </c>
    </row>
    <row r="11" spans="1:12" ht="15" customHeight="1" thickTop="1" x14ac:dyDescent="0.2">
      <c r="A11" s="343" t="s">
        <v>507</v>
      </c>
      <c r="B11" s="18" t="s">
        <v>237</v>
      </c>
      <c r="C11" s="163"/>
      <c r="D11" s="163"/>
      <c r="E11" s="163">
        <v>1</v>
      </c>
      <c r="F11" s="120">
        <f>VLOOKUP(B11,'Costo Materia Prima'!$D$3:$I$409,6,FALSE)*E11</f>
        <v>7.3099399999999992</v>
      </c>
      <c r="G11" s="163"/>
      <c r="H11" s="163"/>
      <c r="I11" s="163"/>
      <c r="J11" s="163"/>
    </row>
    <row r="12" spans="1:12" x14ac:dyDescent="0.2">
      <c r="A12" s="343"/>
      <c r="B12" s="18" t="s">
        <v>167</v>
      </c>
      <c r="C12" s="163"/>
      <c r="D12" s="163"/>
      <c r="E12" s="163">
        <v>1</v>
      </c>
      <c r="F12" s="120">
        <f>VLOOKUP(B12,'Costo Materia Prima'!$D$3:$I$409,6,FALSE)*E12</f>
        <v>0.42919999999999997</v>
      </c>
      <c r="G12" s="163"/>
      <c r="H12" s="163"/>
      <c r="I12" s="163"/>
      <c r="J12" s="163"/>
    </row>
    <row r="13" spans="1:12" x14ac:dyDescent="0.2">
      <c r="A13" s="343"/>
      <c r="B13" s="18" t="s">
        <v>243</v>
      </c>
      <c r="C13" s="163"/>
      <c r="D13" s="163"/>
      <c r="E13" s="163">
        <v>1</v>
      </c>
      <c r="F13" s="120">
        <f>VLOOKUP(B13,'Costo Materia Prima'!$D$3:$I$409,6,FALSE)*E13</f>
        <v>6.0373100000000006</v>
      </c>
      <c r="G13" s="163"/>
      <c r="H13" s="163"/>
      <c r="I13" s="163"/>
      <c r="J13" s="163"/>
    </row>
    <row r="14" spans="1:12" x14ac:dyDescent="0.2">
      <c r="A14" s="343"/>
      <c r="B14" s="18" t="s">
        <v>169</v>
      </c>
      <c r="C14" s="163"/>
      <c r="D14" s="163"/>
      <c r="E14" s="163">
        <v>1</v>
      </c>
      <c r="F14" s="120">
        <f>VLOOKUP(B14,'Costo Materia Prima'!$D$3:$I$409,6,FALSE)*E14</f>
        <v>0.55679999999999996</v>
      </c>
      <c r="G14" s="163"/>
      <c r="H14" s="163"/>
      <c r="I14" s="163"/>
      <c r="J14" s="163"/>
    </row>
    <row r="15" spans="1:12" ht="16" thickBot="1" x14ac:dyDescent="0.25">
      <c r="A15" s="343"/>
      <c r="B15" s="138" t="s">
        <v>502</v>
      </c>
      <c r="C15" s="134"/>
      <c r="D15" s="133"/>
      <c r="E15" s="133"/>
      <c r="F15" s="129">
        <f>SUM(F11:F14)</f>
        <v>14.33325</v>
      </c>
      <c r="G15" s="133"/>
      <c r="H15" s="133"/>
      <c r="I15" s="133"/>
      <c r="J15" s="133"/>
    </row>
    <row r="16" spans="1:12" ht="16" thickTop="1" x14ac:dyDescent="0.2">
      <c r="A16" s="343"/>
      <c r="B16" s="18" t="s">
        <v>240</v>
      </c>
      <c r="C16" s="163"/>
      <c r="D16" s="163"/>
      <c r="E16" s="163"/>
      <c r="F16" s="163"/>
      <c r="G16" s="163">
        <v>1</v>
      </c>
      <c r="H16" s="120">
        <f>VLOOKUP(B16,'Costo Materia Prima'!$D$3:$I$409,6,FALSE)*G16</f>
        <v>13.614066666666666</v>
      </c>
      <c r="I16" s="163"/>
      <c r="J16" s="163"/>
    </row>
    <row r="17" spans="1:10" x14ac:dyDescent="0.2">
      <c r="A17" s="343"/>
      <c r="B17" s="18" t="s">
        <v>167</v>
      </c>
      <c r="C17" s="163"/>
      <c r="D17" s="163"/>
      <c r="E17" s="163"/>
      <c r="F17" s="163"/>
      <c r="G17" s="163">
        <v>1</v>
      </c>
      <c r="H17" s="120">
        <f>VLOOKUP(B17,'Costo Materia Prima'!$D$3:$I$409,6,FALSE)*G17</f>
        <v>0.42919999999999997</v>
      </c>
      <c r="I17" s="163"/>
      <c r="J17" s="163"/>
    </row>
    <row r="18" spans="1:10" x14ac:dyDescent="0.2">
      <c r="A18" s="343"/>
      <c r="B18" s="18" t="s">
        <v>234</v>
      </c>
      <c r="C18" s="163"/>
      <c r="D18" s="163"/>
      <c r="E18" s="163"/>
      <c r="F18" s="163"/>
      <c r="G18" s="163">
        <v>1</v>
      </c>
      <c r="H18" s="120">
        <f>VLOOKUP(B18,'Costo Materia Prima'!$D$3:$I$409,6,FALSE)*G18</f>
        <v>12.475299999999999</v>
      </c>
      <c r="I18" s="163"/>
      <c r="J18" s="163"/>
    </row>
    <row r="19" spans="1:10" ht="16" thickBot="1" x14ac:dyDescent="0.25">
      <c r="A19" s="343"/>
      <c r="B19" s="138" t="s">
        <v>169</v>
      </c>
      <c r="C19" s="133"/>
      <c r="D19" s="133"/>
      <c r="E19" s="133"/>
      <c r="F19" s="133"/>
      <c r="G19" s="133">
        <v>1</v>
      </c>
      <c r="H19" s="129">
        <f>VLOOKUP(B19,'Costo Materia Prima'!$D$3:$I$409,6,FALSE)*G19</f>
        <v>0.55679999999999996</v>
      </c>
      <c r="I19" s="133"/>
      <c r="J19" s="133"/>
    </row>
    <row r="20" spans="1:10" ht="17" thickTop="1" thickBot="1" x14ac:dyDescent="0.25">
      <c r="A20" s="343"/>
      <c r="B20" s="139" t="s">
        <v>502</v>
      </c>
      <c r="C20" s="135"/>
      <c r="D20" s="135"/>
      <c r="E20" s="135"/>
      <c r="F20" s="135"/>
      <c r="G20" s="136"/>
      <c r="H20" s="131">
        <f>SUM(H16:H19)</f>
        <v>27.075366666666664</v>
      </c>
      <c r="I20" s="135"/>
      <c r="J20" s="135"/>
    </row>
    <row r="21" spans="1:10" ht="16" thickTop="1" x14ac:dyDescent="0.2">
      <c r="A21" s="343"/>
      <c r="B21" s="18" t="s">
        <v>246</v>
      </c>
      <c r="C21" s="163"/>
      <c r="D21" s="163"/>
      <c r="E21" s="163"/>
      <c r="F21" s="163"/>
      <c r="G21" s="163"/>
      <c r="H21" s="163"/>
      <c r="I21" s="163">
        <v>1</v>
      </c>
      <c r="J21" s="120">
        <f>VLOOKUP(B21,'Costo Materia Prima'!$D$3:$I$409,6,FALSE)*I21</f>
        <v>2.2654399999999999</v>
      </c>
    </row>
    <row r="22" spans="1:10" x14ac:dyDescent="0.2">
      <c r="A22" s="343"/>
      <c r="B22" s="18" t="s">
        <v>173</v>
      </c>
      <c r="C22" s="163"/>
      <c r="D22" s="163"/>
      <c r="E22" s="163"/>
      <c r="F22" s="163"/>
      <c r="G22" s="163"/>
      <c r="H22" s="163"/>
      <c r="I22" s="163">
        <v>1</v>
      </c>
      <c r="J22" s="120">
        <f>VLOOKUP(B22,'Costo Materia Prima'!$D$3:$I$409,6,FALSE)*I22</f>
        <v>0.25519999999999998</v>
      </c>
    </row>
    <row r="23" spans="1:10" x14ac:dyDescent="0.2">
      <c r="A23" s="343"/>
      <c r="B23" s="18" t="s">
        <v>155</v>
      </c>
      <c r="C23" s="163"/>
      <c r="D23" s="163"/>
      <c r="E23" s="163"/>
      <c r="F23" s="163"/>
      <c r="G23" s="163"/>
      <c r="H23" s="163"/>
      <c r="I23" s="163">
        <v>1</v>
      </c>
      <c r="J23" s="120">
        <f>VLOOKUP(B23,'Costo Materia Prima'!$D$3:$I$409,6,FALSE)*I23</f>
        <v>0.13</v>
      </c>
    </row>
    <row r="24" spans="1:10" x14ac:dyDescent="0.2">
      <c r="A24" s="343"/>
      <c r="B24" s="18" t="s">
        <v>406</v>
      </c>
      <c r="C24" s="163"/>
      <c r="D24" s="163"/>
      <c r="E24" s="163"/>
      <c r="F24" s="163"/>
      <c r="G24" s="163"/>
      <c r="H24" s="163"/>
      <c r="I24" s="163">
        <v>1</v>
      </c>
      <c r="J24" s="120">
        <v>0.05</v>
      </c>
    </row>
    <row r="25" spans="1:10" ht="16" thickBot="1" x14ac:dyDescent="0.25">
      <c r="A25" s="343"/>
      <c r="B25" s="138" t="s">
        <v>502</v>
      </c>
      <c r="C25" s="133"/>
      <c r="D25" s="133"/>
      <c r="E25" s="133"/>
      <c r="F25" s="133"/>
      <c r="G25" s="133"/>
      <c r="H25" s="133"/>
      <c r="I25" s="133"/>
      <c r="J25" s="129">
        <f>SUM(J21:J24)</f>
        <v>2.7006399999999995</v>
      </c>
    </row>
    <row r="26" spans="1:10" ht="16" thickTop="1" x14ac:dyDescent="0.2">
      <c r="A26" s="348" t="s">
        <v>50</v>
      </c>
      <c r="B26" s="18" t="s">
        <v>509</v>
      </c>
      <c r="C26" s="194">
        <v>4.0000000000000001E-3</v>
      </c>
      <c r="D26" s="121">
        <f>'Insumos 2'!G28*C26</f>
        <v>0.40664261793455153</v>
      </c>
      <c r="E26" s="194">
        <v>1.4999999999999999E-2</v>
      </c>
      <c r="F26" s="121">
        <f>'Insumos 2'!G28*E26</f>
        <v>1.5249098172545683</v>
      </c>
      <c r="G26" s="194">
        <v>0.06</v>
      </c>
      <c r="H26" s="121">
        <f>'Insumos 2'!G28*G26</f>
        <v>6.0996392690182732</v>
      </c>
      <c r="I26" s="163"/>
      <c r="J26" s="163"/>
    </row>
    <row r="27" spans="1:10" x14ac:dyDescent="0.2">
      <c r="A27" s="348"/>
      <c r="B27" s="18" t="s">
        <v>510</v>
      </c>
      <c r="C27" s="194">
        <v>2.5000000000000001E-2</v>
      </c>
      <c r="D27" s="121">
        <f>'Insumos 1'!G71*C27</f>
        <v>0.3058618909213332</v>
      </c>
      <c r="E27" s="194">
        <v>0.11</v>
      </c>
      <c r="F27" s="121">
        <f>'Insumos 1'!G71*E27</f>
        <v>1.345792320053866</v>
      </c>
      <c r="G27" s="194">
        <v>0.2</v>
      </c>
      <c r="H27" s="121">
        <f>'Insumos 1'!G71*G27</f>
        <v>2.4468951273706656</v>
      </c>
      <c r="I27" s="163"/>
      <c r="J27" s="163"/>
    </row>
    <row r="28" spans="1:10" x14ac:dyDescent="0.2">
      <c r="A28" s="348"/>
      <c r="B28" s="18" t="s">
        <v>50</v>
      </c>
      <c r="C28" s="194">
        <f>G28/8</f>
        <v>0.05</v>
      </c>
      <c r="D28" s="121">
        <f>'Costo Materia Prima'!I18*C28</f>
        <v>4.5051809581018167</v>
      </c>
      <c r="E28" s="194">
        <v>0.25</v>
      </c>
      <c r="F28" s="121">
        <f>'Costo Materia Prima'!I18*E28</f>
        <v>22.525904790509085</v>
      </c>
      <c r="G28" s="194">
        <v>0.4</v>
      </c>
      <c r="H28" s="121">
        <f>'Costo Materia Prima'!I18*G28</f>
        <v>36.041447664814534</v>
      </c>
      <c r="I28" s="163"/>
      <c r="J28" s="163"/>
    </row>
    <row r="29" spans="1:10" ht="16" thickBot="1" x14ac:dyDescent="0.25">
      <c r="A29" s="348"/>
      <c r="B29" s="138" t="s">
        <v>502</v>
      </c>
      <c r="C29" s="133"/>
      <c r="D29" s="129">
        <f>SUM(D26:D28)</f>
        <v>5.2176854669577013</v>
      </c>
      <c r="E29" s="130"/>
      <c r="F29" s="129">
        <f t="shared" ref="F29:H29" si="0">SUM(F26:F28)</f>
        <v>25.396606927817519</v>
      </c>
      <c r="G29" s="130"/>
      <c r="H29" s="129">
        <f t="shared" si="0"/>
        <v>44.587982061203476</v>
      </c>
      <c r="I29" s="133"/>
      <c r="J29" s="130">
        <f>H29/8</f>
        <v>5.5734977576504345</v>
      </c>
    </row>
    <row r="30" spans="1:10" ht="15" customHeight="1" thickTop="1" x14ac:dyDescent="0.2">
      <c r="A30" s="348" t="s">
        <v>103</v>
      </c>
      <c r="B30" s="18" t="s">
        <v>366</v>
      </c>
      <c r="C30" s="119">
        <v>5.0000000000000001E-3</v>
      </c>
      <c r="D30" s="121">
        <v>0.02</v>
      </c>
      <c r="E30" s="119">
        <v>0.08</v>
      </c>
      <c r="F30" s="121">
        <f>E30*'Insumos 2'!G36</f>
        <v>6.3939532467532469</v>
      </c>
      <c r="G30" s="119">
        <v>0.04</v>
      </c>
      <c r="H30" s="121">
        <f>G30*'Insumos 2'!G36</f>
        <v>3.1969766233766235</v>
      </c>
      <c r="I30" s="163"/>
      <c r="J30" s="163"/>
    </row>
    <row r="31" spans="1:10" x14ac:dyDescent="0.2">
      <c r="A31" s="348"/>
      <c r="B31" s="18" t="s">
        <v>511</v>
      </c>
      <c r="C31" s="119">
        <v>7.0000000000000007E-2</v>
      </c>
      <c r="D31" s="121">
        <f>C31*'Costo Materia Prima'!I43</f>
        <v>5.3375000000000004</v>
      </c>
      <c r="E31" s="119">
        <v>0.35</v>
      </c>
      <c r="F31" s="121">
        <f>E31*'Costo Materia Prima'!I43</f>
        <v>26.6875</v>
      </c>
      <c r="G31" s="119">
        <v>0.55000000000000004</v>
      </c>
      <c r="H31" s="121">
        <f>G31*'Costo Materia Prima'!I43</f>
        <v>41.9375</v>
      </c>
      <c r="I31" s="163"/>
      <c r="J31" s="163"/>
    </row>
    <row r="32" spans="1:10" ht="16" thickBot="1" x14ac:dyDescent="0.25">
      <c r="A32" s="348"/>
      <c r="B32" s="138" t="s">
        <v>502</v>
      </c>
      <c r="C32" s="133"/>
      <c r="D32" s="129">
        <f>SUM(D30:D31)</f>
        <v>5.3574999999999999</v>
      </c>
      <c r="E32" s="130"/>
      <c r="F32" s="129">
        <f t="shared" ref="F32:H32" si="1">SUM(F30:F31)</f>
        <v>33.081453246753249</v>
      </c>
      <c r="G32" s="130"/>
      <c r="H32" s="129">
        <f t="shared" si="1"/>
        <v>45.134476623376621</v>
      </c>
      <c r="I32" s="133"/>
      <c r="J32" s="130">
        <f>H32/8</f>
        <v>5.6418095779220776</v>
      </c>
    </row>
    <row r="33" spans="1:11" ht="15" customHeight="1" thickTop="1" x14ac:dyDescent="0.2">
      <c r="A33" s="343" t="s">
        <v>415</v>
      </c>
      <c r="B33" s="18" t="s">
        <v>188</v>
      </c>
      <c r="C33" s="119">
        <v>0.05</v>
      </c>
      <c r="D33" s="121">
        <f>C33*'Costo Materia Prima'!I83</f>
        <v>5.7</v>
      </c>
      <c r="E33" s="119">
        <v>0.15</v>
      </c>
      <c r="F33" s="121">
        <f>E33*'Costo Materia Prima'!I83</f>
        <v>17.099999999999998</v>
      </c>
      <c r="G33" s="119">
        <v>0.25</v>
      </c>
      <c r="H33" s="121">
        <f>G33*'Costo Materia Prima'!I83</f>
        <v>28.5</v>
      </c>
      <c r="I33" s="163"/>
      <c r="J33" s="163"/>
    </row>
    <row r="34" spans="1:11" x14ac:dyDescent="0.2">
      <c r="A34" s="343"/>
      <c r="B34" s="18" t="s">
        <v>509</v>
      </c>
      <c r="C34" s="119">
        <v>7.0000000000000001E-3</v>
      </c>
      <c r="D34" s="121">
        <f>'Insumos 2'!G28*C34</f>
        <v>0.71162458138546525</v>
      </c>
      <c r="E34" s="119">
        <v>0.03</v>
      </c>
      <c r="F34" s="121">
        <f>'Insumos 2'!G28*E34</f>
        <v>3.0498196345091366</v>
      </c>
      <c r="G34" s="119">
        <v>0.05</v>
      </c>
      <c r="H34" s="121">
        <f>'Insumos 2'!G28*G34</f>
        <v>5.0830327241818942</v>
      </c>
      <c r="I34" s="122"/>
      <c r="J34" s="122"/>
      <c r="K34" s="13"/>
    </row>
    <row r="35" spans="1:11" ht="16" thickBot="1" x14ac:dyDescent="0.25">
      <c r="A35" s="343"/>
      <c r="B35" s="138" t="s">
        <v>502</v>
      </c>
      <c r="C35" s="133"/>
      <c r="D35" s="129">
        <f>SUM(D33:D34)</f>
        <v>6.4116245813854658</v>
      </c>
      <c r="E35" s="130"/>
      <c r="F35" s="129">
        <f t="shared" ref="F35" si="2">SUM(F33:F34)</f>
        <v>20.149819634509136</v>
      </c>
      <c r="G35" s="130"/>
      <c r="H35" s="129">
        <f t="shared" ref="H35" si="3">SUM(H33:H34)</f>
        <v>33.583032724181891</v>
      </c>
      <c r="I35" s="133"/>
      <c r="J35" s="130">
        <f>H35/8</f>
        <v>4.1978790905227363</v>
      </c>
    </row>
    <row r="36" spans="1:11" ht="15" customHeight="1" thickTop="1" x14ac:dyDescent="0.2">
      <c r="A36" s="343" t="s">
        <v>512</v>
      </c>
      <c r="B36" s="18" t="s">
        <v>513</v>
      </c>
      <c r="C36" s="119">
        <v>0</v>
      </c>
      <c r="D36" s="121">
        <f>C36*'Costo Materia Prima'!I86</f>
        <v>0</v>
      </c>
      <c r="E36" s="119">
        <v>0.3</v>
      </c>
      <c r="F36" s="121">
        <f>E36*'Insumos 1'!G57</f>
        <v>27.47390690651882</v>
      </c>
      <c r="G36" s="119">
        <f>0.067*8</f>
        <v>0.53600000000000003</v>
      </c>
      <c r="H36" s="121">
        <f>G36*'Insumos 1'!G57</f>
        <v>49.086713672980295</v>
      </c>
      <c r="I36" s="163"/>
      <c r="J36" s="163"/>
    </row>
    <row r="37" spans="1:11" x14ac:dyDescent="0.2">
      <c r="A37" s="343"/>
      <c r="B37" s="18" t="s">
        <v>366</v>
      </c>
      <c r="C37" s="119">
        <v>0</v>
      </c>
      <c r="D37" s="121">
        <f>'Insumos 2'!G31*C37</f>
        <v>0</v>
      </c>
      <c r="E37" s="119">
        <v>0.08</v>
      </c>
      <c r="F37" s="121">
        <f>E37*'Insumos 2'!G36</f>
        <v>6.3939532467532469</v>
      </c>
      <c r="G37" s="119">
        <v>0.1</v>
      </c>
      <c r="H37" s="121">
        <f>G37*'Insumos 2'!G36</f>
        <v>7.9924415584415591</v>
      </c>
      <c r="I37" s="122"/>
      <c r="J37" s="122"/>
      <c r="K37" s="13"/>
    </row>
    <row r="38" spans="1:11" ht="16" thickBot="1" x14ac:dyDescent="0.25">
      <c r="A38" s="343"/>
      <c r="B38" s="138" t="s">
        <v>502</v>
      </c>
      <c r="C38" s="133"/>
      <c r="D38" s="129">
        <f>SUM(D36:D37)</f>
        <v>0</v>
      </c>
      <c r="E38" s="130"/>
      <c r="F38" s="129">
        <f t="shared" ref="F38" si="4">SUM(F36:F37)</f>
        <v>33.867860153272069</v>
      </c>
      <c r="G38" s="130"/>
      <c r="H38" s="129">
        <f t="shared" ref="H38" si="5">SUM(H36:H37)</f>
        <v>57.079155231421851</v>
      </c>
      <c r="I38" s="133"/>
      <c r="J38" s="130">
        <f>H38/8</f>
        <v>7.1348944039277313</v>
      </c>
    </row>
    <row r="39" spans="1:11" ht="15" customHeight="1" thickTop="1" x14ac:dyDescent="0.2">
      <c r="A39" s="343" t="s">
        <v>99</v>
      </c>
      <c r="B39" s="18" t="s">
        <v>99</v>
      </c>
      <c r="C39" s="119"/>
      <c r="D39" s="121"/>
      <c r="E39" s="119">
        <v>0.3</v>
      </c>
      <c r="F39" s="121">
        <f>E39*'Insumos 1'!G60</f>
        <v>0</v>
      </c>
      <c r="G39" s="119">
        <v>0.82</v>
      </c>
      <c r="H39" s="121">
        <f>G39*'Costo Materia Prima'!I41</f>
        <v>49.265599999999999</v>
      </c>
      <c r="I39" s="163"/>
      <c r="J39" s="163"/>
    </row>
    <row r="40" spans="1:11" ht="16" thickBot="1" x14ac:dyDescent="0.25">
      <c r="A40" s="343"/>
      <c r="B40" s="138" t="s">
        <v>502</v>
      </c>
      <c r="C40" s="133"/>
      <c r="D40" s="129">
        <f>SUM(D39:D39)</f>
        <v>0</v>
      </c>
      <c r="E40" s="130"/>
      <c r="F40" s="129">
        <f>SUM(F39:F39)</f>
        <v>0</v>
      </c>
      <c r="G40" s="130"/>
      <c r="H40" s="129">
        <f>SUM(H39:H39)</f>
        <v>49.265599999999999</v>
      </c>
      <c r="I40" s="133"/>
      <c r="J40" s="130">
        <f>H40/8</f>
        <v>6.1581999999999999</v>
      </c>
    </row>
    <row r="41" spans="1:11" ht="16" thickTop="1" x14ac:dyDescent="0.2">
      <c r="A41" s="348" t="s">
        <v>416</v>
      </c>
      <c r="B41" s="140" t="s">
        <v>416</v>
      </c>
      <c r="C41" s="119">
        <v>0.04</v>
      </c>
      <c r="D41" s="121">
        <f>C41*'Costo Materia Prima'!I151</f>
        <v>4.9248000000000003</v>
      </c>
      <c r="E41" s="119">
        <v>0.2</v>
      </c>
      <c r="F41" s="121">
        <f>E41*'Costo Materia Prima'!I151</f>
        <v>24.624000000000002</v>
      </c>
      <c r="G41" s="119">
        <v>0.35</v>
      </c>
      <c r="H41" s="121">
        <f>G41*'Costo Materia Prima'!I151</f>
        <v>43.091999999999999</v>
      </c>
      <c r="I41" s="163"/>
      <c r="J41" s="163"/>
    </row>
    <row r="42" spans="1:11" ht="16" thickBot="1" x14ac:dyDescent="0.25">
      <c r="A42" s="348"/>
      <c r="B42" s="138" t="s">
        <v>502</v>
      </c>
      <c r="C42" s="133"/>
      <c r="D42" s="130">
        <f>D41</f>
        <v>4.9248000000000003</v>
      </c>
      <c r="E42" s="133"/>
      <c r="F42" s="130">
        <f>F41</f>
        <v>24.624000000000002</v>
      </c>
      <c r="G42" s="133"/>
      <c r="H42" s="130">
        <f>H41</f>
        <v>43.091999999999999</v>
      </c>
      <c r="I42" s="133"/>
      <c r="J42" s="130">
        <f>H42/8</f>
        <v>5.3864999999999998</v>
      </c>
    </row>
    <row r="43" spans="1:11" ht="16" customHeight="1" thickTop="1" x14ac:dyDescent="0.2">
      <c r="A43" s="343" t="s">
        <v>417</v>
      </c>
      <c r="B43" s="18"/>
      <c r="F43" s="13">
        <f>F10-F7+F15-F14-F12</f>
        <v>86.851881230638298</v>
      </c>
      <c r="G43" s="13"/>
      <c r="H43" s="13">
        <f>H10-H7+H20-H19-H17</f>
        <v>148.87704400176742</v>
      </c>
      <c r="I43" s="13"/>
      <c r="J43" s="13"/>
      <c r="K43" s="13"/>
    </row>
    <row r="44" spans="1:11" ht="16" thickBot="1" x14ac:dyDescent="0.25">
      <c r="A44" s="343"/>
      <c r="B44" s="138" t="s">
        <v>502</v>
      </c>
      <c r="C44" s="128"/>
      <c r="D44" s="128"/>
      <c r="E44" s="128"/>
      <c r="F44" s="132">
        <f>F43</f>
        <v>86.851881230638298</v>
      </c>
      <c r="G44" s="132"/>
      <c r="H44" s="132">
        <f>H43</f>
        <v>148.87704400176742</v>
      </c>
      <c r="I44" s="132"/>
      <c r="J44" s="132"/>
      <c r="K44" s="13"/>
    </row>
    <row r="45" spans="1:11" ht="16" customHeight="1" thickTop="1" x14ac:dyDescent="0.2">
      <c r="A45" s="343" t="s">
        <v>418</v>
      </c>
      <c r="B45" s="18"/>
      <c r="C45" s="106"/>
      <c r="D45" s="106"/>
      <c r="F45" s="13">
        <f>F15+F10</f>
        <v>115.18762147703123</v>
      </c>
      <c r="H45" s="13">
        <f>H20+H10</f>
        <v>195.44594441242236</v>
      </c>
      <c r="J45" s="13">
        <f>J25+J10</f>
        <v>23.746962218219462</v>
      </c>
    </row>
    <row r="46" spans="1:11" ht="16" thickBot="1" x14ac:dyDescent="0.25">
      <c r="A46" s="343"/>
      <c r="B46" s="138" t="s">
        <v>502</v>
      </c>
      <c r="C46" s="137"/>
      <c r="D46" s="137"/>
      <c r="E46" s="128"/>
      <c r="F46" s="132">
        <f>F45</f>
        <v>115.18762147703123</v>
      </c>
      <c r="G46" s="128"/>
      <c r="H46" s="132">
        <f>H45</f>
        <v>195.44594441242236</v>
      </c>
      <c r="I46" s="128"/>
      <c r="J46" s="132">
        <f>J45</f>
        <v>23.746962218219462</v>
      </c>
    </row>
    <row r="47" spans="1:11" ht="16" thickTop="1" x14ac:dyDescent="0.2">
      <c r="A47" s="118"/>
    </row>
    <row r="48" spans="1:11" x14ac:dyDescent="0.2">
      <c r="A48" s="118"/>
    </row>
    <row r="50" spans="2:12" ht="16" thickBot="1" x14ac:dyDescent="0.25">
      <c r="B50" s="313" t="s">
        <v>514</v>
      </c>
      <c r="C50" s="313"/>
      <c r="D50" s="313"/>
      <c r="E50" s="313"/>
      <c r="F50" s="313"/>
      <c r="H50" t="s">
        <v>514</v>
      </c>
    </row>
    <row r="51" spans="2:12" x14ac:dyDescent="0.2">
      <c r="B51" s="146"/>
      <c r="C51" s="347" t="s">
        <v>444</v>
      </c>
      <c r="D51" s="347"/>
      <c r="E51" s="347"/>
      <c r="F51" s="347"/>
      <c r="I51" t="s">
        <v>444</v>
      </c>
    </row>
    <row r="52" spans="2:12" x14ac:dyDescent="0.2">
      <c r="B52" s="141" t="s">
        <v>515</v>
      </c>
      <c r="C52" s="105" t="s">
        <v>516</v>
      </c>
      <c r="D52" s="105" t="s">
        <v>372</v>
      </c>
      <c r="E52" s="105" t="s">
        <v>373</v>
      </c>
      <c r="F52" s="105" t="s">
        <v>413</v>
      </c>
      <c r="H52" t="s">
        <v>515</v>
      </c>
      <c r="I52" t="s">
        <v>516</v>
      </c>
      <c r="J52" t="s">
        <v>372</v>
      </c>
      <c r="K52" t="s">
        <v>373</v>
      </c>
      <c r="L52" t="s">
        <v>413</v>
      </c>
    </row>
    <row r="53" spans="2:12" x14ac:dyDescent="0.2">
      <c r="B53" s="142" t="s">
        <v>50</v>
      </c>
      <c r="C53" s="13">
        <f>D10+D29</f>
        <v>18.916120952964206</v>
      </c>
      <c r="D53" s="13">
        <f>F10+F15+F29</f>
        <v>140.58422840484874</v>
      </c>
      <c r="E53" s="13">
        <f>H10+H20+H29</f>
        <v>240.03392647362585</v>
      </c>
      <c r="F53" s="13">
        <f>(E53/8)+$J$25</f>
        <v>32.704880809203232</v>
      </c>
      <c r="H53" t="s">
        <v>50</v>
      </c>
      <c r="I53">
        <v>21.391652589029782</v>
      </c>
      <c r="J53">
        <v>133.33860443183235</v>
      </c>
      <c r="K53">
        <v>223.93814707104829</v>
      </c>
      <c r="L53">
        <v>30.712901983881036</v>
      </c>
    </row>
    <row r="54" spans="2:12" x14ac:dyDescent="0.2">
      <c r="B54" s="24" t="s">
        <v>103</v>
      </c>
      <c r="C54" s="13">
        <f>D10+D32</f>
        <v>19.055935486006504</v>
      </c>
      <c r="D54" s="13">
        <f>F10+F15+F32</f>
        <v>148.26907472378448</v>
      </c>
      <c r="E54" s="13">
        <f>H10+H20+H32</f>
        <v>240.58042103579899</v>
      </c>
      <c r="F54" s="13">
        <f t="shared" ref="F54:F58" si="6">(E54/8)+$J$25</f>
        <v>32.77319262947487</v>
      </c>
      <c r="H54" t="s">
        <v>103</v>
      </c>
      <c r="I54">
        <v>20.018458377126805</v>
      </c>
      <c r="J54">
        <v>169.195653637601</v>
      </c>
      <c r="K54">
        <v>281.34211898247759</v>
      </c>
      <c r="L54">
        <v>37.888398472809698</v>
      </c>
    </row>
    <row r="55" spans="2:12" x14ac:dyDescent="0.2">
      <c r="B55" s="24" t="s">
        <v>415</v>
      </c>
      <c r="C55" s="13">
        <f>D10+D35</f>
        <v>20.11006006739197</v>
      </c>
      <c r="D55" s="13">
        <f>F10+F15+F35</f>
        <v>135.33744111154036</v>
      </c>
      <c r="E55" s="13">
        <f>H10+H20+H35</f>
        <v>229.02897713660425</v>
      </c>
      <c r="F55" s="13">
        <f t="shared" si="6"/>
        <v>31.329262142075532</v>
      </c>
      <c r="H55" t="s">
        <v>415</v>
      </c>
      <c r="I55">
        <v>19.262813017709156</v>
      </c>
      <c r="J55">
        <v>134.54758889692766</v>
      </c>
      <c r="K55">
        <v>205.44941807255952</v>
      </c>
      <c r="L55">
        <v>28.40181085906994</v>
      </c>
    </row>
    <row r="56" spans="2:12" x14ac:dyDescent="0.2">
      <c r="B56" s="24" t="s">
        <v>512</v>
      </c>
      <c r="C56" s="13">
        <f>D10+D38</f>
        <v>13.698435486006504</v>
      </c>
      <c r="D56" s="13">
        <f>F10+F15+F38</f>
        <v>149.05548163030329</v>
      </c>
      <c r="E56" s="13">
        <f>H10+H20+H38</f>
        <v>252.52509964384421</v>
      </c>
      <c r="F56" s="13">
        <f>(E56/8)+$J$25</f>
        <v>34.266277455480527</v>
      </c>
      <c r="H56" t="s">
        <v>512</v>
      </c>
      <c r="I56">
        <v>13.756001234269664</v>
      </c>
      <c r="J56">
        <v>151.82286000089996</v>
      </c>
      <c r="K56">
        <v>241.2249676849051</v>
      </c>
      <c r="L56">
        <v>32.873754560613136</v>
      </c>
    </row>
    <row r="57" spans="2:12" x14ac:dyDescent="0.2">
      <c r="B57" s="24" t="s">
        <v>416</v>
      </c>
      <c r="C57" s="13">
        <f>D10+D42</f>
        <v>18.623235486006504</v>
      </c>
      <c r="D57" s="13">
        <f>F10+F15+F42</f>
        <v>139.81162147703122</v>
      </c>
      <c r="E57" s="13">
        <f>H10+H20+H42</f>
        <v>238.53794441242235</v>
      </c>
      <c r="F57" s="13">
        <f t="shared" si="6"/>
        <v>32.517883051552793</v>
      </c>
      <c r="H57" t="s">
        <v>416</v>
      </c>
      <c r="I57">
        <v>16.481001234269666</v>
      </c>
      <c r="J57">
        <v>115.26748220902957</v>
      </c>
      <c r="K57">
        <v>183.38040469676335</v>
      </c>
      <c r="L57">
        <v>25.643184187095418</v>
      </c>
    </row>
    <row r="58" spans="2:12" x14ac:dyDescent="0.2">
      <c r="B58" s="24" t="s">
        <v>417</v>
      </c>
      <c r="C58" s="5">
        <v>0</v>
      </c>
      <c r="D58" s="13">
        <f>F44</f>
        <v>86.851881230638298</v>
      </c>
      <c r="E58" s="13">
        <f>H44</f>
        <v>148.87704400176742</v>
      </c>
      <c r="F58" s="13">
        <f t="shared" si="6"/>
        <v>21.310270500220927</v>
      </c>
      <c r="H58" t="s">
        <v>417</v>
      </c>
      <c r="I58">
        <v>0</v>
      </c>
      <c r="J58">
        <v>72.852630830169801</v>
      </c>
      <c r="K58">
        <v>120.23980783788156</v>
      </c>
      <c r="L58">
        <v>17.750609579735194</v>
      </c>
    </row>
    <row r="59" spans="2:12" x14ac:dyDescent="0.2">
      <c r="B59" s="24" t="s">
        <v>418</v>
      </c>
      <c r="C59" s="5">
        <v>0</v>
      </c>
      <c r="D59" s="13">
        <f>F46</f>
        <v>115.18762147703123</v>
      </c>
      <c r="E59" s="13">
        <f>H46</f>
        <v>195.44594441242236</v>
      </c>
      <c r="F59" s="13">
        <f>(E59/8)+$J$25</f>
        <v>27.131383051552795</v>
      </c>
      <c r="H59" t="s">
        <v>418</v>
      </c>
      <c r="I59">
        <v>0</v>
      </c>
      <c r="J59">
        <v>98.917482209029572</v>
      </c>
      <c r="K59">
        <v>161.58040469676334</v>
      </c>
      <c r="L59">
        <v>22.918184187095417</v>
      </c>
    </row>
    <row r="60" spans="2:12" x14ac:dyDescent="0.2">
      <c r="B60" s="24" t="s">
        <v>99</v>
      </c>
      <c r="E60" s="13">
        <f>H10+H20+H40</f>
        <v>244.71154441242237</v>
      </c>
    </row>
    <row r="61" spans="2:12" x14ac:dyDescent="0.2">
      <c r="E61" s="13">
        <f>E59/(1-0.5)</f>
        <v>390.89188882484473</v>
      </c>
    </row>
    <row r="63" spans="2:12" x14ac:dyDescent="0.2">
      <c r="E63" s="13">
        <f>E60/(1-0.5)</f>
        <v>489.42308882484474</v>
      </c>
      <c r="F63">
        <f>(E63-E60)/E63</f>
        <v>0.5</v>
      </c>
    </row>
  </sheetData>
  <mergeCells count="17">
    <mergeCell ref="C2:J2"/>
    <mergeCell ref="B50:F50"/>
    <mergeCell ref="A11:A25"/>
    <mergeCell ref="A26:A29"/>
    <mergeCell ref="A33:A35"/>
    <mergeCell ref="A30:A32"/>
    <mergeCell ref="A5:A10"/>
    <mergeCell ref="I3:J3"/>
    <mergeCell ref="G3:H3"/>
    <mergeCell ref="E3:F3"/>
    <mergeCell ref="C3:D3"/>
    <mergeCell ref="A36:A38"/>
    <mergeCell ref="A39:A40"/>
    <mergeCell ref="C51:F51"/>
    <mergeCell ref="A41:A42"/>
    <mergeCell ref="A45:A46"/>
    <mergeCell ref="A43:A44"/>
  </mergeCells>
  <dataValidations disablePrompts="1" count="1">
    <dataValidation type="list" allowBlank="1" showInputMessage="1" showErrorMessage="1" sqref="B11:B20 B25:D25" xr:uid="{FBD45085-207A-4190-859D-CFC44ED32662}">
      <formula1>ClaveProductos</formula1>
    </dataValidation>
  </dataValidations>
  <pageMargins left="0.7" right="0.7" top="0.75" bottom="0.75" header="0.3" footer="0.3"/>
  <pageSetup orientation="portrait" horizontalDpi="0" verticalDpi="0"/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 xr:uid="{76B74855-252A-457D-B1DE-C7691CFB275D}">
          <x14:formula1>
            <xm:f>'Costo Materia Prima'!$D$3:$D$162</xm:f>
          </x14:formula1>
          <xm:sqref>B11:B14 B21:D23 B16:B19</xm:sqref>
        </x14:dataValidation>
      </x14:dataValidations>
    </ext>
  </extLst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193B4B-C768-F544-86D4-BDC84B8A66BB}">
  <sheetPr codeName="Hoja34"/>
  <dimension ref="A2:H9"/>
  <sheetViews>
    <sheetView workbookViewId="0">
      <selection activeCell="D14" sqref="D14"/>
    </sheetView>
  </sheetViews>
  <sheetFormatPr baseColWidth="10" defaultRowHeight="15" x14ac:dyDescent="0.2"/>
  <sheetData>
    <row r="2" spans="1:8" x14ac:dyDescent="0.2">
      <c r="C2" s="310" t="s">
        <v>444</v>
      </c>
      <c r="D2" s="310"/>
      <c r="E2" s="310"/>
      <c r="F2" s="310"/>
      <c r="G2" s="310"/>
      <c r="H2" s="310"/>
    </row>
    <row r="3" spans="1:8" x14ac:dyDescent="0.2">
      <c r="A3" s="20" t="s">
        <v>445</v>
      </c>
      <c r="B3" s="20"/>
      <c r="C3" s="20" t="s">
        <v>413</v>
      </c>
      <c r="D3" s="20" t="s">
        <v>375</v>
      </c>
      <c r="E3" s="20" t="s">
        <v>370</v>
      </c>
      <c r="F3" s="20" t="s">
        <v>371</v>
      </c>
      <c r="G3" s="20" t="s">
        <v>372</v>
      </c>
      <c r="H3" s="20" t="s">
        <v>373</v>
      </c>
    </row>
    <row r="4" spans="1:8" x14ac:dyDescent="0.2">
      <c r="A4" t="s">
        <v>425</v>
      </c>
      <c r="C4" s="5"/>
      <c r="D4" s="5">
        <f>'Insumos 2'!Y221</f>
        <v>20.238709526384078</v>
      </c>
      <c r="E4" s="5">
        <f>'Insumos 2'!T221</f>
        <v>0</v>
      </c>
      <c r="F4" s="5">
        <f>'Insumos 2'!U221</f>
        <v>0</v>
      </c>
      <c r="G4" s="5">
        <f>'Insumos 2'!V221</f>
        <v>226.10798507785464</v>
      </c>
      <c r="H4" s="5">
        <f>'Insumos 2'!W221</f>
        <v>0</v>
      </c>
    </row>
    <row r="5" spans="1:8" x14ac:dyDescent="0.2">
      <c r="C5" s="5"/>
      <c r="D5" s="5"/>
      <c r="E5" s="5">
        <f>K9</f>
        <v>0</v>
      </c>
      <c r="F5" s="5">
        <f>L9</f>
        <v>0</v>
      </c>
      <c r="G5" s="5">
        <f t="shared" ref="G5" si="0">M9</f>
        <v>0</v>
      </c>
      <c r="H5" s="5">
        <f>N9</f>
        <v>0</v>
      </c>
    </row>
    <row r="6" spans="1:8" x14ac:dyDescent="0.2">
      <c r="C6" s="5"/>
      <c r="D6" s="5"/>
      <c r="E6" s="5">
        <f t="shared" ref="E6:H6" si="1">K15</f>
        <v>0</v>
      </c>
      <c r="F6" s="5">
        <f>L15</f>
        <v>0</v>
      </c>
      <c r="G6" s="5">
        <f t="shared" si="1"/>
        <v>0</v>
      </c>
      <c r="H6" s="5">
        <f t="shared" si="1"/>
        <v>0</v>
      </c>
    </row>
    <row r="7" spans="1:8" x14ac:dyDescent="0.2">
      <c r="C7" s="5"/>
      <c r="D7" s="5"/>
      <c r="E7" s="5">
        <f t="shared" ref="E7:H7" si="2">K21</f>
        <v>0</v>
      </c>
      <c r="F7" s="5">
        <f>L21</f>
        <v>0</v>
      </c>
      <c r="G7" s="5">
        <f t="shared" si="2"/>
        <v>0</v>
      </c>
      <c r="H7" s="5">
        <f t="shared" si="2"/>
        <v>0</v>
      </c>
    </row>
    <row r="8" spans="1:8" ht="16" thickBot="1" x14ac:dyDescent="0.25">
      <c r="A8" s="98" t="s">
        <v>444</v>
      </c>
      <c r="B8" s="98"/>
      <c r="C8" s="100">
        <f>'Insumos 3'!S8</f>
        <v>2.80714</v>
      </c>
      <c r="D8" s="100">
        <f>'Insumos 3'!AZ8</f>
        <v>2.7071399999999999</v>
      </c>
      <c r="E8" s="100">
        <f>'Insumos 3'!O8</f>
        <v>11.486000000000001</v>
      </c>
      <c r="F8" s="100">
        <f>'Insumos 3'!K8</f>
        <v>13.628489999999999</v>
      </c>
      <c r="G8" s="100">
        <f>'Insumos 3'!G8</f>
        <v>15.598399999999998</v>
      </c>
      <c r="H8" s="100">
        <f>'Insumos 3'!C7</f>
        <v>28.574509999999997</v>
      </c>
    </row>
    <row r="9" spans="1:8" ht="16" thickTop="1" x14ac:dyDescent="0.2">
      <c r="A9" t="s">
        <v>455</v>
      </c>
      <c r="C9" s="127">
        <f>SUM(C4:C8)+(G9/10)</f>
        <v>26.977778507785462</v>
      </c>
      <c r="D9" s="127">
        <f>SUM(D4:D8)</f>
        <v>22.945849526384077</v>
      </c>
      <c r="E9" s="127">
        <f t="shared" ref="E9" si="3">SUM(E4:E8)</f>
        <v>11.486000000000001</v>
      </c>
      <c r="F9" s="127">
        <f t="shared" ref="F9:H9" si="4">SUM(F4:F8)</f>
        <v>13.628489999999999</v>
      </c>
      <c r="G9" s="127">
        <f t="shared" si="4"/>
        <v>241.70638507785463</v>
      </c>
      <c r="H9" s="127">
        <f t="shared" si="4"/>
        <v>28.574509999999997</v>
      </c>
    </row>
  </sheetData>
  <mergeCells count="1">
    <mergeCell ref="C2:H2"/>
  </mergeCells>
  <pageMargins left="0.7" right="0.7" top="0.75" bottom="0.75" header="0.3" footer="0.3"/>
  <pageSetup orientation="portrait" horizontalDpi="0" verticalDpi="0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ED970C-534C-4F09-8DD9-E15914AE32F3}">
  <sheetPr codeName="Hoja8"/>
  <dimension ref="A2:U38"/>
  <sheetViews>
    <sheetView topLeftCell="A2" zoomScale="125" zoomScaleNormal="100" workbookViewId="0">
      <selection activeCell="S17" sqref="S17"/>
    </sheetView>
  </sheetViews>
  <sheetFormatPr baseColWidth="10" defaultColWidth="11.5" defaultRowHeight="15" x14ac:dyDescent="0.2"/>
  <cols>
    <col min="1" max="1" width="13.33203125" customWidth="1"/>
    <col min="2" max="2" width="21.1640625" bestFit="1" customWidth="1"/>
    <col min="3" max="3" width="12.33203125" bestFit="1" customWidth="1"/>
    <col min="4" max="4" width="13.5" customWidth="1"/>
    <col min="5" max="5" width="8.6640625" bestFit="1" customWidth="1"/>
    <col min="6" max="6" width="10.83203125" customWidth="1"/>
    <col min="17" max="17" width="19.5" customWidth="1"/>
  </cols>
  <sheetData>
    <row r="2" spans="1:21" ht="16" thickBot="1" x14ac:dyDescent="0.25">
      <c r="C2" s="352" t="s">
        <v>444</v>
      </c>
      <c r="D2" s="352"/>
      <c r="E2" s="352"/>
      <c r="F2" s="352"/>
      <c r="N2" t="s">
        <v>429</v>
      </c>
    </row>
    <row r="3" spans="1:21" ht="16" thickBot="1" x14ac:dyDescent="0.25">
      <c r="C3" s="349" t="s">
        <v>373</v>
      </c>
      <c r="D3" s="349"/>
      <c r="E3" s="349" t="s">
        <v>370</v>
      </c>
      <c r="F3" s="349"/>
      <c r="G3" s="349" t="s">
        <v>645</v>
      </c>
      <c r="H3" s="349"/>
      <c r="I3" s="349" t="s">
        <v>706</v>
      </c>
      <c r="J3" s="349"/>
      <c r="K3" s="349" t="s">
        <v>705</v>
      </c>
      <c r="L3" s="349"/>
      <c r="N3" t="s">
        <v>757</v>
      </c>
      <c r="S3">
        <v>0.08</v>
      </c>
      <c r="T3">
        <v>11</v>
      </c>
      <c r="U3">
        <f>S3*T3</f>
        <v>0.88</v>
      </c>
    </row>
    <row r="4" spans="1:21" ht="16" thickBot="1" x14ac:dyDescent="0.25">
      <c r="B4" s="15" t="s">
        <v>517</v>
      </c>
      <c r="C4" s="15" t="s">
        <v>4</v>
      </c>
      <c r="D4" s="15" t="s">
        <v>7</v>
      </c>
      <c r="E4" s="15" t="s">
        <v>4</v>
      </c>
      <c r="F4" s="15" t="s">
        <v>7</v>
      </c>
      <c r="G4" s="15" t="s">
        <v>4</v>
      </c>
      <c r="H4" s="15" t="s">
        <v>7</v>
      </c>
      <c r="I4" s="15" t="s">
        <v>4</v>
      </c>
      <c r="J4" s="15" t="s">
        <v>7</v>
      </c>
      <c r="K4" s="15" t="s">
        <v>4</v>
      </c>
      <c r="L4" s="15" t="s">
        <v>7</v>
      </c>
      <c r="N4" s="13">
        <f>[2]INSUMOS!$K$15</f>
        <v>1.2667042069756584</v>
      </c>
      <c r="S4">
        <v>8.5000000000000006E-2</v>
      </c>
      <c r="T4">
        <v>11</v>
      </c>
      <c r="U4">
        <f>S4*T4</f>
        <v>0.93500000000000005</v>
      </c>
    </row>
    <row r="5" spans="1:21" x14ac:dyDescent="0.2">
      <c r="A5" s="351" t="s">
        <v>518</v>
      </c>
      <c r="B5" t="s">
        <v>519</v>
      </c>
      <c r="C5" s="22">
        <v>0.17</v>
      </c>
      <c r="D5" s="13">
        <f>C5*'Costo Materia Prima'!I18</f>
        <v>15.317615257546178</v>
      </c>
      <c r="E5" s="22">
        <v>0.08</v>
      </c>
      <c r="F5" s="13">
        <f>E5*'Costo Materia Prima'!I18</f>
        <v>7.2082895329629073</v>
      </c>
      <c r="G5">
        <v>0.45</v>
      </c>
      <c r="H5" s="13">
        <f>G5*'Costo Materia Prima'!I18</f>
        <v>40.546628622916352</v>
      </c>
      <c r="I5" s="22">
        <v>0.192</v>
      </c>
      <c r="J5" s="13">
        <f>I5*'Costo Materia Prima'!I18</f>
        <v>17.299894879110976</v>
      </c>
      <c r="K5" s="22">
        <v>0.21</v>
      </c>
      <c r="L5" s="13">
        <f>K5*'Costo Materia Prima'!I18</f>
        <v>18.92176002402763</v>
      </c>
      <c r="M5" s="13"/>
      <c r="N5" s="5">
        <f>C6*N4</f>
        <v>0.23434027829049681</v>
      </c>
      <c r="O5" s="13">
        <f>I6*N4</f>
        <v>0.30907582650206067</v>
      </c>
      <c r="P5" s="13">
        <f>K6*N4</f>
        <v>0.34201013588342782</v>
      </c>
    </row>
    <row r="6" spans="1:21" x14ac:dyDescent="0.2">
      <c r="A6" s="351"/>
      <c r="B6" t="s">
        <v>429</v>
      </c>
      <c r="C6" s="22">
        <v>0.185</v>
      </c>
      <c r="D6" s="13">
        <f>C6*'Insumos 1'!G81</f>
        <v>12.17853620849241</v>
      </c>
      <c r="E6" s="22">
        <v>8.5000000000000006E-2</v>
      </c>
      <c r="F6" s="13">
        <f>E6*'Insumos 1'!G81</f>
        <v>5.5955436633613784</v>
      </c>
      <c r="G6">
        <v>0.48</v>
      </c>
      <c r="H6" s="13">
        <f>G6*'Insumos 1'!G81</f>
        <v>31.598364216628958</v>
      </c>
      <c r="I6" s="22">
        <v>0.24399999999999999</v>
      </c>
      <c r="J6" s="13">
        <f>I6*'Insumos 1'!G81</f>
        <v>16.06250181011972</v>
      </c>
      <c r="K6" s="22">
        <v>0.27</v>
      </c>
      <c r="L6" s="13">
        <f>K6*'Insumos 1'!G81</f>
        <v>17.77407987185379</v>
      </c>
      <c r="M6" s="13"/>
      <c r="N6" s="22"/>
      <c r="O6" s="13"/>
    </row>
    <row r="7" spans="1:21" x14ac:dyDescent="0.2">
      <c r="A7" s="351"/>
      <c r="B7" t="s">
        <v>417</v>
      </c>
      <c r="C7" s="147">
        <f>1/16</f>
        <v>6.25E-2</v>
      </c>
      <c r="D7" s="13">
        <f>C7*Pay!H46</f>
        <v>12.215371525776398</v>
      </c>
      <c r="E7" s="147">
        <f>C7</f>
        <v>6.25E-2</v>
      </c>
      <c r="F7" s="13">
        <f>E7*Pay!H46</f>
        <v>12.215371525776398</v>
      </c>
      <c r="I7" s="147">
        <v>0</v>
      </c>
      <c r="J7" s="13">
        <f>I7*Pay!N46</f>
        <v>0</v>
      </c>
      <c r="K7" s="147">
        <f>I7</f>
        <v>0</v>
      </c>
      <c r="L7" s="13">
        <f>K7*Pay!N46</f>
        <v>0</v>
      </c>
      <c r="M7" s="13"/>
      <c r="N7" s="147"/>
      <c r="O7" s="13"/>
    </row>
    <row r="8" spans="1:21" x14ac:dyDescent="0.2">
      <c r="A8" s="164"/>
      <c r="B8" t="s">
        <v>475</v>
      </c>
      <c r="C8" s="147">
        <v>1.4999999999999999E-2</v>
      </c>
      <c r="D8" s="13">
        <f>C8*'Insumos 2'!G28</f>
        <v>1.5249098172545683</v>
      </c>
      <c r="E8" s="147"/>
      <c r="F8" s="13"/>
      <c r="I8" s="147">
        <v>0</v>
      </c>
      <c r="J8" s="13">
        <f>I8*'Insumos 2'!M28</f>
        <v>0</v>
      </c>
      <c r="K8" s="147">
        <v>0</v>
      </c>
      <c r="L8" s="13">
        <f>K8*'Insumos 2'!M28</f>
        <v>0</v>
      </c>
      <c r="N8">
        <f>40000+3000+600</f>
        <v>43600</v>
      </c>
      <c r="O8">
        <v>26919</v>
      </c>
      <c r="P8">
        <f>N8/O8</f>
        <v>1.6196738363237861</v>
      </c>
    </row>
    <row r="9" spans="1:21" x14ac:dyDescent="0.2">
      <c r="A9" s="351" t="s">
        <v>507</v>
      </c>
      <c r="B9" s="80" t="s">
        <v>336</v>
      </c>
      <c r="E9">
        <v>1</v>
      </c>
      <c r="F9" s="95">
        <f>VLOOKUP(B9,'Costo Materia Prima'!$D$3:$I$181,6,FALSE)*E9</f>
        <v>1.54328</v>
      </c>
      <c r="L9" s="95"/>
      <c r="M9" s="13"/>
    </row>
    <row r="10" spans="1:21" x14ac:dyDescent="0.2">
      <c r="A10" s="351"/>
      <c r="B10" s="80" t="s">
        <v>338</v>
      </c>
      <c r="C10">
        <v>1</v>
      </c>
      <c r="D10" s="95">
        <f>VLOOKUP(B10,'Costo Materia Prima'!$D$3:$I$236,6,FALSE)</f>
        <v>2.2382619999999998</v>
      </c>
      <c r="J10" s="95"/>
      <c r="L10" s="95"/>
      <c r="M10" s="13"/>
    </row>
    <row r="11" spans="1:21" x14ac:dyDescent="0.2">
      <c r="A11" s="351"/>
      <c r="B11" s="80" t="s">
        <v>702</v>
      </c>
      <c r="D11" s="95"/>
      <c r="I11">
        <v>1</v>
      </c>
      <c r="J11" s="95">
        <f>VLOOKUP(B11,'Costo Materia Prima'!$D$3:$I$236,6,FALSE)*I11</f>
        <v>2.4236249999999999</v>
      </c>
      <c r="L11" s="95"/>
      <c r="M11" s="13"/>
    </row>
    <row r="12" spans="1:21" x14ac:dyDescent="0.2">
      <c r="A12" s="351"/>
      <c r="B12" s="80" t="s">
        <v>703</v>
      </c>
      <c r="D12" s="95"/>
      <c r="J12" s="95"/>
      <c r="K12">
        <v>1</v>
      </c>
      <c r="L12" s="95">
        <f>VLOOKUP(B12,'Costo Materia Prima'!$D$3:$I$181,6,FALSE)*K12</f>
        <v>2.7716249999999998</v>
      </c>
      <c r="M12" s="13"/>
    </row>
    <row r="13" spans="1:21" x14ac:dyDescent="0.2">
      <c r="A13" s="351"/>
      <c r="B13" s="80" t="s">
        <v>704</v>
      </c>
      <c r="D13" s="95"/>
      <c r="I13">
        <v>1</v>
      </c>
      <c r="J13" s="95">
        <f>VLOOKUP(B13,'Costo Materia Prima'!$D$3:$I$236,6,FALSE)*I13</f>
        <v>1.0086599999999999</v>
      </c>
      <c r="K13">
        <v>1</v>
      </c>
      <c r="L13" s="95">
        <f>VLOOKUP(B13,'Costo Materia Prima'!$D$3:$I$181,6,FALSE)*K13</f>
        <v>1.0086599999999999</v>
      </c>
      <c r="M13" s="13"/>
    </row>
    <row r="14" spans="1:21" x14ac:dyDescent="0.2">
      <c r="A14" s="351"/>
      <c r="B14" s="80" t="s">
        <v>157</v>
      </c>
      <c r="C14">
        <v>1</v>
      </c>
      <c r="D14" s="95">
        <f>VLOOKUP(B14,'Costo Materia Prima'!$D$3:$I$236,6,FALSE)</f>
        <v>0.37999666666666665</v>
      </c>
      <c r="E14">
        <v>1</v>
      </c>
      <c r="F14" s="95">
        <f>VLOOKUP(B14,'Costo Materia Prima'!$D$3:$I$236,6,FALSE)*E14</f>
        <v>0.37999666666666665</v>
      </c>
      <c r="I14">
        <v>1</v>
      </c>
      <c r="J14" s="95">
        <f>VLOOKUP(B14,'Costo Materia Prima'!$D$3:$I$236,6,FALSE)*I14</f>
        <v>0.37999666666666665</v>
      </c>
      <c r="K14">
        <v>1</v>
      </c>
      <c r="L14" s="95">
        <f>VLOOKUP(B14,'Costo Materia Prima'!$D$3:$I$181,6,FALSE)*K14</f>
        <v>0.37999666666666665</v>
      </c>
    </row>
    <row r="15" spans="1:21" x14ac:dyDescent="0.2">
      <c r="A15" s="351"/>
      <c r="B15" s="80" t="s">
        <v>159</v>
      </c>
      <c r="C15">
        <v>1</v>
      </c>
      <c r="D15" s="95">
        <f>VLOOKUP(B15,'Costo Materia Prima'!$D$3:$I$236,6,FALSE)</f>
        <v>0.83465999999999996</v>
      </c>
      <c r="E15">
        <v>1</v>
      </c>
      <c r="F15" s="95">
        <f>VLOOKUP(B15,'Costo Materia Prima'!$D$3:$I$236,6,FALSE)</f>
        <v>0.83465999999999996</v>
      </c>
      <c r="I15">
        <v>1</v>
      </c>
      <c r="J15" s="95">
        <f>VLOOKUP(B15,'Costo Materia Prima'!$D$3:$I$236,6,FALSE)*I15</f>
        <v>0.83465999999999996</v>
      </c>
      <c r="K15">
        <v>1</v>
      </c>
      <c r="L15" s="95">
        <f>VLOOKUP(B15,'Costo Materia Prima'!$D$3:$I$181,6,FALSE)*K15</f>
        <v>0.83465999999999996</v>
      </c>
    </row>
    <row r="16" spans="1:21" x14ac:dyDescent="0.2">
      <c r="A16" s="351"/>
      <c r="B16" t="s">
        <v>406</v>
      </c>
      <c r="C16">
        <v>1</v>
      </c>
      <c r="D16" s="95">
        <v>0.05</v>
      </c>
      <c r="E16">
        <v>1</v>
      </c>
      <c r="F16" s="95">
        <v>0.05</v>
      </c>
      <c r="I16">
        <v>1</v>
      </c>
      <c r="J16" s="95">
        <v>0.05</v>
      </c>
      <c r="K16">
        <v>1</v>
      </c>
      <c r="L16" s="95">
        <v>0.05</v>
      </c>
    </row>
    <row r="17" spans="1:13" x14ac:dyDescent="0.2">
      <c r="A17" s="351"/>
      <c r="B17" t="s">
        <v>108</v>
      </c>
      <c r="C17">
        <v>1</v>
      </c>
      <c r="D17" s="95">
        <f>VLOOKUP(B17,'Costo Materia Prima'!$D$3:$I$236,6,FALSE)/4</f>
        <v>1.406425</v>
      </c>
      <c r="E17">
        <v>1</v>
      </c>
      <c r="F17" s="95">
        <f>VLOOKUP(B17,'Costo Materia Prima'!$D$3:$I$236,6,FALSE)/4</f>
        <v>1.406425</v>
      </c>
      <c r="I17">
        <v>1</v>
      </c>
      <c r="J17" s="95">
        <f>VLOOKUP(B17,'Costo Materia Prima'!$D$3:$I$236,6,FALSE)*I17/4</f>
        <v>1.406425</v>
      </c>
      <c r="K17">
        <v>1</v>
      </c>
      <c r="L17" s="95">
        <f>VLOOKUP(B17,'Costo Materia Prima'!$D$3:$I$181,6,FALSE)*K17/4</f>
        <v>1.406425</v>
      </c>
    </row>
    <row r="18" spans="1:13" x14ac:dyDescent="0.2">
      <c r="A18" s="164"/>
      <c r="B18" t="s">
        <v>248</v>
      </c>
      <c r="D18" s="95"/>
      <c r="F18" s="95"/>
      <c r="H18" s="95"/>
      <c r="J18" s="95"/>
      <c r="L18" s="95"/>
    </row>
    <row r="19" spans="1:13" x14ac:dyDescent="0.2">
      <c r="A19" s="164"/>
      <c r="B19" t="s">
        <v>173</v>
      </c>
      <c r="D19" s="95"/>
      <c r="F19" s="95"/>
      <c r="H19" s="95"/>
      <c r="J19" s="95"/>
      <c r="L19" s="95"/>
    </row>
    <row r="20" spans="1:13" x14ac:dyDescent="0.2">
      <c r="A20" s="164"/>
      <c r="D20" s="95"/>
      <c r="F20" s="95"/>
      <c r="H20" s="95"/>
      <c r="I20" s="95"/>
    </row>
    <row r="21" spans="1:13" x14ac:dyDescent="0.2">
      <c r="H21" s="13"/>
      <c r="I21" s="13"/>
      <c r="J21" s="13"/>
    </row>
    <row r="22" spans="1:13" x14ac:dyDescent="0.2">
      <c r="A22" s="310" t="s">
        <v>514</v>
      </c>
      <c r="B22" s="310"/>
      <c r="C22" s="310"/>
      <c r="D22" s="310"/>
      <c r="E22" s="310"/>
      <c r="F22" s="310"/>
    </row>
    <row r="23" spans="1:13" x14ac:dyDescent="0.2">
      <c r="A23" s="105"/>
      <c r="B23" s="105" t="s">
        <v>444</v>
      </c>
      <c r="C23" s="105" t="s">
        <v>371</v>
      </c>
      <c r="D23" s="105" t="s">
        <v>370</v>
      </c>
      <c r="E23" s="105" t="s">
        <v>372</v>
      </c>
      <c r="F23" s="105" t="s">
        <v>373</v>
      </c>
      <c r="J23" s="123" t="str">
        <f>C23</f>
        <v>Chico</v>
      </c>
      <c r="K23" s="123" t="str">
        <f t="shared" ref="K23:M23" si="0">D23</f>
        <v>Mini</v>
      </c>
      <c r="L23" s="123" t="str">
        <f t="shared" si="0"/>
        <v>Mediano</v>
      </c>
      <c r="M23" s="123" t="str">
        <f t="shared" si="0"/>
        <v>Grande</v>
      </c>
    </row>
    <row r="24" spans="1:13" x14ac:dyDescent="0.2">
      <c r="A24" s="350" t="s">
        <v>515</v>
      </c>
      <c r="B24" s="148" t="s">
        <v>427</v>
      </c>
      <c r="C24" s="13">
        <f>SUM(D5:D6,D10:D17)</f>
        <v>32.405495132705255</v>
      </c>
      <c r="D24" s="13">
        <f>SUM(F5:F6,F9:F17)</f>
        <v>17.018194862990953</v>
      </c>
      <c r="E24" s="13">
        <f>SUM(J5:J6,J9:J17)</f>
        <v>39.465763355897352</v>
      </c>
      <c r="F24" s="13">
        <f>SUM(L5:L6,L9:L17)</f>
        <v>43.147206562548078</v>
      </c>
      <c r="G24" s="5"/>
      <c r="H24" s="5"/>
      <c r="I24" s="5"/>
      <c r="J24" s="5">
        <f>C24/(1-0.5)</f>
        <v>64.81099026541051</v>
      </c>
      <c r="K24" s="5">
        <f t="shared" ref="K24:M24" si="1">D24/(1-0.5)</f>
        <v>34.036389725981905</v>
      </c>
      <c r="L24" s="5">
        <f t="shared" si="1"/>
        <v>78.931526711794703</v>
      </c>
      <c r="M24" s="5">
        <f t="shared" si="1"/>
        <v>86.294413125096156</v>
      </c>
    </row>
    <row r="25" spans="1:13" x14ac:dyDescent="0.2">
      <c r="A25" s="350"/>
      <c r="B25" s="148" t="s">
        <v>428</v>
      </c>
      <c r="C25" s="13">
        <f>SUM(D5:D7,D9:D17)</f>
        <v>44.620866658481646</v>
      </c>
      <c r="D25" s="13">
        <f>SUM(F5:F7,F9:F17)</f>
        <v>29.233566388767347</v>
      </c>
      <c r="E25" s="13"/>
      <c r="G25" s="5"/>
      <c r="H25" s="5"/>
      <c r="I25" s="5"/>
      <c r="J25" s="233">
        <f>J24*1.16</f>
        <v>75.180748707876191</v>
      </c>
      <c r="K25" s="233">
        <f t="shared" ref="K25:M25" si="2">K24*1.16</f>
        <v>39.482212082139007</v>
      </c>
      <c r="L25" s="233">
        <f t="shared" si="2"/>
        <v>91.560570985681849</v>
      </c>
      <c r="M25" s="233">
        <f t="shared" si="2"/>
        <v>100.10151922511153</v>
      </c>
    </row>
    <row r="26" spans="1:13" x14ac:dyDescent="0.2">
      <c r="A26" s="350"/>
      <c r="B26" s="148" t="s">
        <v>429</v>
      </c>
      <c r="C26" s="13">
        <f>SUM(D6,D10:D17)</f>
        <v>17.087879875159075</v>
      </c>
      <c r="D26" s="13">
        <f>SUM(F6,F9:F17)</f>
        <v>9.8099053300280463</v>
      </c>
    </row>
    <row r="27" spans="1:13" x14ac:dyDescent="0.2">
      <c r="B27" s="148" t="s">
        <v>613</v>
      </c>
      <c r="C27" s="13">
        <f>SUM(D5:D6,D8,D10:D17)</f>
        <v>33.930404949959822</v>
      </c>
      <c r="J27" s="13">
        <f>J24*1.16</f>
        <v>75.180748707876191</v>
      </c>
      <c r="K27" s="13">
        <f t="shared" ref="K27:M27" si="3">K24*1.16</f>
        <v>39.482212082139007</v>
      </c>
      <c r="L27" s="13">
        <f t="shared" si="3"/>
        <v>91.560570985681849</v>
      </c>
      <c r="M27" s="13">
        <f t="shared" si="3"/>
        <v>100.10151922511153</v>
      </c>
    </row>
    <row r="29" spans="1:13" x14ac:dyDescent="0.2">
      <c r="B29" t="s">
        <v>444</v>
      </c>
      <c r="C29" t="s">
        <v>373</v>
      </c>
      <c r="D29" t="s">
        <v>370</v>
      </c>
    </row>
    <row r="30" spans="1:13" x14ac:dyDescent="0.2">
      <c r="B30" t="s">
        <v>427</v>
      </c>
      <c r="C30" s="5">
        <v>34.396761260197501</v>
      </c>
      <c r="D30" s="5">
        <v>29.858371431927385</v>
      </c>
    </row>
    <row r="31" spans="1:13" x14ac:dyDescent="0.2">
      <c r="B31" t="s">
        <v>428</v>
      </c>
      <c r="C31" s="5">
        <v>44.736180425912863</v>
      </c>
      <c r="D31" s="5">
        <v>40.197790597642715</v>
      </c>
    </row>
    <row r="32" spans="1:13" x14ac:dyDescent="0.2">
      <c r="B32" t="s">
        <v>429</v>
      </c>
      <c r="C32" s="5">
        <v>13.175661260197501</v>
      </c>
      <c r="D32" s="5">
        <v>12.382171431927375</v>
      </c>
    </row>
    <row r="36" spans="2:5" x14ac:dyDescent="0.2">
      <c r="B36" t="s">
        <v>444</v>
      </c>
      <c r="C36" t="s">
        <v>371</v>
      </c>
      <c r="D36" t="s">
        <v>372</v>
      </c>
      <c r="E36" t="s">
        <v>373</v>
      </c>
    </row>
    <row r="37" spans="2:5" x14ac:dyDescent="0.2">
      <c r="B37" t="s">
        <v>427</v>
      </c>
      <c r="C37" s="5">
        <v>37.663109944570131</v>
      </c>
      <c r="D37" s="5">
        <v>45.569312736802416</v>
      </c>
      <c r="E37" s="5">
        <v>49.82991437405731</v>
      </c>
    </row>
    <row r="38" spans="2:5" x14ac:dyDescent="0.2">
      <c r="B38" t="s">
        <v>758</v>
      </c>
      <c r="C38" s="5">
        <v>65</v>
      </c>
      <c r="D38" s="5">
        <v>105</v>
      </c>
      <c r="E38" s="5">
        <v>115</v>
      </c>
    </row>
  </sheetData>
  <mergeCells count="10">
    <mergeCell ref="C2:F2"/>
    <mergeCell ref="C3:D3"/>
    <mergeCell ref="E3:F3"/>
    <mergeCell ref="A9:A17"/>
    <mergeCell ref="G3:H3"/>
    <mergeCell ref="K3:L3"/>
    <mergeCell ref="A22:F22"/>
    <mergeCell ref="A24:A26"/>
    <mergeCell ref="A5:A7"/>
    <mergeCell ref="I3:J3"/>
  </mergeCells>
  <pageMargins left="0.7" right="0.7" top="0.75" bottom="0.75" header="0.3" footer="0.3"/>
  <pageSetup orientation="portrait" horizontalDpi="0" verticalDpi="0"/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 xr:uid="{B4B23D4D-88FD-B44D-A8B2-B1649AEB771A}">
          <x14:formula1>
            <xm:f>'Costo Materia Prima'!$D$3:$D$162</xm:f>
          </x14:formula1>
          <xm:sqref>B18 B20</xm:sqref>
        </x14:dataValidation>
      </x14:dataValidations>
    </ext>
  </extLst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29D595-56B7-C848-B78D-22F35EDB3BD0}">
  <sheetPr codeName="Hoja17"/>
  <dimension ref="A3:D11"/>
  <sheetViews>
    <sheetView workbookViewId="0">
      <selection activeCell="A13" sqref="A13"/>
    </sheetView>
  </sheetViews>
  <sheetFormatPr baseColWidth="10" defaultColWidth="11.5" defaultRowHeight="15" x14ac:dyDescent="0.2"/>
  <cols>
    <col min="1" max="1" width="15.6640625" bestFit="1" customWidth="1"/>
  </cols>
  <sheetData>
    <row r="3" spans="1:4" x14ac:dyDescent="0.2">
      <c r="A3" t="s">
        <v>2</v>
      </c>
      <c r="B3" t="s">
        <v>4</v>
      </c>
      <c r="C3" t="s">
        <v>546</v>
      </c>
      <c r="D3" t="s">
        <v>547</v>
      </c>
    </row>
    <row r="4" spans="1:4" x14ac:dyDescent="0.2">
      <c r="A4" t="s">
        <v>548</v>
      </c>
      <c r="B4">
        <v>20</v>
      </c>
      <c r="C4" s="5">
        <v>78</v>
      </c>
      <c r="D4" s="5">
        <f>C4/B4</f>
        <v>3.9</v>
      </c>
    </row>
    <row r="5" spans="1:4" x14ac:dyDescent="0.2">
      <c r="A5" t="s">
        <v>549</v>
      </c>
      <c r="B5">
        <v>48</v>
      </c>
      <c r="C5" s="5">
        <v>166.74</v>
      </c>
      <c r="D5" s="5">
        <f>C5/B5</f>
        <v>3.4737500000000003</v>
      </c>
    </row>
    <row r="6" spans="1:4" x14ac:dyDescent="0.2">
      <c r="A6" t="s">
        <v>550</v>
      </c>
      <c r="B6">
        <v>63</v>
      </c>
      <c r="C6" s="5">
        <v>203.56</v>
      </c>
      <c r="D6" s="5">
        <f>C6/B6</f>
        <v>3.2311111111111113</v>
      </c>
    </row>
    <row r="7" spans="1:4" x14ac:dyDescent="0.2">
      <c r="A7" t="s">
        <v>551</v>
      </c>
      <c r="B7">
        <f>850/6.8</f>
        <v>125</v>
      </c>
      <c r="C7" s="5">
        <v>204.6</v>
      </c>
      <c r="D7" s="5">
        <f>C7/B7</f>
        <v>1.6368</v>
      </c>
    </row>
    <row r="8" spans="1:4" x14ac:dyDescent="0.2">
      <c r="D8" s="13">
        <f>AVERAGE(D4:D7)</f>
        <v>3.0604152777777776</v>
      </c>
    </row>
    <row r="11" spans="1:4" x14ac:dyDescent="0.2">
      <c r="A11" t="s">
        <v>819</v>
      </c>
    </row>
  </sheetData>
  <pageMargins left="0.7" right="0.7" top="0.75" bottom="0.75" header="0.3" footer="0.3"/>
  <pageSetup orientation="portrait" horizontalDpi="0" verticalDpi="0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C03827-E04A-4874-816C-E6F50507646E}">
  <sheetPr codeName="Hoja13"/>
  <dimension ref="A3:V30"/>
  <sheetViews>
    <sheetView tabSelected="1" zoomScale="166" workbookViewId="0">
      <selection activeCell="E6" sqref="E6"/>
    </sheetView>
  </sheetViews>
  <sheetFormatPr baseColWidth="10" defaultColWidth="9.1640625" defaultRowHeight="15" x14ac:dyDescent="0.2"/>
  <cols>
    <col min="1" max="1" width="19.33203125" bestFit="1" customWidth="1"/>
    <col min="3" max="3" width="9.6640625" bestFit="1" customWidth="1"/>
    <col min="4" max="4" width="9.83203125" bestFit="1" customWidth="1"/>
    <col min="5" max="5" width="9.83203125" customWidth="1"/>
    <col min="10" max="10" width="16.5" bestFit="1" customWidth="1"/>
    <col min="11" max="11" width="8.83203125" bestFit="1" customWidth="1"/>
    <col min="14" max="14" width="10.5" customWidth="1"/>
    <col min="15" max="15" width="11.5" bestFit="1" customWidth="1"/>
    <col min="20" max="20" width="6.5" customWidth="1"/>
    <col min="21" max="21" width="20.5" customWidth="1"/>
    <col min="22" max="22" width="10" customWidth="1"/>
  </cols>
  <sheetData>
    <row r="3" spans="1:22" x14ac:dyDescent="0.2">
      <c r="C3" s="310" t="s">
        <v>444</v>
      </c>
      <c r="D3" s="310"/>
      <c r="E3" s="310"/>
      <c r="F3" s="310"/>
      <c r="G3" s="310"/>
      <c r="H3" s="310"/>
      <c r="J3" s="338" t="s">
        <v>345</v>
      </c>
      <c r="K3" s="353"/>
      <c r="L3" s="338"/>
      <c r="M3" s="338"/>
      <c r="N3" s="353"/>
      <c r="O3" s="353"/>
      <c r="P3" s="353"/>
      <c r="U3" s="362" t="s">
        <v>831</v>
      </c>
      <c r="V3" s="362"/>
    </row>
    <row r="4" spans="1:22" x14ac:dyDescent="0.2">
      <c r="A4" s="20" t="s">
        <v>445</v>
      </c>
      <c r="B4" s="20"/>
      <c r="C4" s="20" t="s">
        <v>413</v>
      </c>
      <c r="D4" s="20" t="s">
        <v>375</v>
      </c>
      <c r="E4" s="20" t="s">
        <v>370</v>
      </c>
      <c r="F4" s="20" t="s">
        <v>371</v>
      </c>
      <c r="G4" s="20" t="s">
        <v>372</v>
      </c>
      <c r="H4" s="20" t="s">
        <v>373</v>
      </c>
      <c r="J4" s="40" t="s">
        <v>369</v>
      </c>
      <c r="K4" s="33" t="s">
        <v>370</v>
      </c>
      <c r="L4" s="30" t="s">
        <v>371</v>
      </c>
      <c r="M4" s="42" t="s">
        <v>372</v>
      </c>
      <c r="N4" s="29" t="s">
        <v>373</v>
      </c>
      <c r="O4" s="29" t="s">
        <v>448</v>
      </c>
      <c r="P4" s="49" t="s">
        <v>375</v>
      </c>
      <c r="R4" s="360" t="s">
        <v>832</v>
      </c>
      <c r="S4" s="360"/>
      <c r="U4" s="20" t="s">
        <v>445</v>
      </c>
      <c r="V4" s="20" t="s">
        <v>370</v>
      </c>
    </row>
    <row r="5" spans="1:22" x14ac:dyDescent="0.2">
      <c r="A5" t="s">
        <v>554</v>
      </c>
      <c r="D5" s="32">
        <f>'Insumos 2'!Y81</f>
        <v>7.6324917063269888</v>
      </c>
      <c r="E5" s="5">
        <f>'Insumos 2'!T83/2</f>
        <v>7.2084643893088236</v>
      </c>
      <c r="F5" s="32">
        <f>'Insumos 2'!U81</f>
        <v>16.11303804669031</v>
      </c>
      <c r="G5" s="32">
        <f>'Insumos 2'!V81</f>
        <v>24.169557070035463</v>
      </c>
      <c r="H5" s="32">
        <f>'Insumos 2'!W81</f>
        <v>37.738431214616782</v>
      </c>
      <c r="J5" s="54" t="s">
        <v>450</v>
      </c>
      <c r="K5" s="33">
        <v>0</v>
      </c>
      <c r="L5" s="43">
        <v>0.56999999999999995</v>
      </c>
      <c r="M5" s="44">
        <v>0.77</v>
      </c>
      <c r="N5" s="45">
        <v>1.0900000000000001</v>
      </c>
      <c r="O5" s="60">
        <v>0</v>
      </c>
      <c r="P5" s="49">
        <v>0.02</v>
      </c>
      <c r="R5" s="74" t="s">
        <v>369</v>
      </c>
      <c r="S5" s="298" t="s">
        <v>370</v>
      </c>
      <c r="U5" t="s">
        <v>554</v>
      </c>
      <c r="V5" s="5">
        <f>'Insumos 2'!T83/2</f>
        <v>7.2084643893088236</v>
      </c>
    </row>
    <row r="6" spans="1:22" x14ac:dyDescent="0.2">
      <c r="D6" s="32"/>
      <c r="E6" s="5">
        <f>[2]PAN!$L$19/2</f>
        <v>0.48484640321696892</v>
      </c>
      <c r="F6" s="32">
        <f>[2]PAN!$L$18</f>
        <v>2.1333241741546631</v>
      </c>
      <c r="G6" s="32">
        <f>[2]PAN!$L$17</f>
        <v>3.5555402902577722</v>
      </c>
      <c r="H6" s="32">
        <f>[2]PAN!$L$16</f>
        <v>5.3333104353866583</v>
      </c>
      <c r="J6" s="29" t="s">
        <v>452</v>
      </c>
      <c r="K6" s="31">
        <v>0</v>
      </c>
      <c r="L6" s="60">
        <v>0</v>
      </c>
      <c r="M6" s="48">
        <v>0</v>
      </c>
      <c r="N6" s="60">
        <v>0</v>
      </c>
      <c r="O6" s="60">
        <v>0</v>
      </c>
      <c r="P6" s="49">
        <v>0.04</v>
      </c>
      <c r="R6" s="74" t="s">
        <v>450</v>
      </c>
      <c r="S6" s="74">
        <v>0.56999999999999995</v>
      </c>
      <c r="U6" t="s">
        <v>555</v>
      </c>
      <c r="V6" s="5">
        <f>'Insumos 2'!T114/2</f>
        <v>6.3814267948678287</v>
      </c>
    </row>
    <row r="7" spans="1:22" x14ac:dyDescent="0.2">
      <c r="A7" t="s">
        <v>555</v>
      </c>
      <c r="E7" s="5">
        <f>'Insumos 2'!T114/2</f>
        <v>6.3814267948678287</v>
      </c>
      <c r="F7" s="95">
        <f>'Insumos 2'!U72</f>
        <v>12.478014802631579</v>
      </c>
      <c r="G7" s="95">
        <f>'Insumos 2'!V72</f>
        <v>19.014117794486214</v>
      </c>
      <c r="H7" s="95">
        <f>'Insumos 2'!W72</f>
        <v>30.715113360323887</v>
      </c>
      <c r="J7" s="29" t="s">
        <v>453</v>
      </c>
      <c r="K7" s="29">
        <v>0</v>
      </c>
      <c r="L7" s="60"/>
      <c r="M7" s="48"/>
      <c r="N7" s="60"/>
      <c r="O7" s="60"/>
      <c r="P7" s="49"/>
      <c r="R7" s="74" t="s">
        <v>438</v>
      </c>
      <c r="S7" s="297">
        <v>0.22500000000000001</v>
      </c>
      <c r="U7" t="s">
        <v>345</v>
      </c>
      <c r="V7" s="5">
        <f>S8</f>
        <v>20.845470770217077</v>
      </c>
    </row>
    <row r="8" spans="1:22" x14ac:dyDescent="0.2">
      <c r="E8" s="5">
        <f>[2]PAN!$L$15/2</f>
        <v>0.34795034771597139</v>
      </c>
      <c r="F8" s="95">
        <f>[2]PAN!$L$14</f>
        <v>1.530981529950274</v>
      </c>
      <c r="G8" s="95">
        <f>[2]PAN!$L$13</f>
        <v>2.5516358832504569</v>
      </c>
      <c r="H8" s="95">
        <f>[2]PAN!$L$12</f>
        <v>3.8274538248756849</v>
      </c>
      <c r="J8" s="29" t="s">
        <v>438</v>
      </c>
      <c r="K8" s="60">
        <f>SUM(K5:K7)</f>
        <v>0</v>
      </c>
      <c r="L8" s="60">
        <f>SUM(L5:L7)</f>
        <v>0.56999999999999995</v>
      </c>
      <c r="M8" s="67">
        <f t="shared" ref="M8:P8" si="0">SUM(M5:M7)</f>
        <v>0.77</v>
      </c>
      <c r="N8" s="60">
        <f t="shared" si="0"/>
        <v>1.0900000000000001</v>
      </c>
      <c r="O8" s="60">
        <f t="shared" si="0"/>
        <v>0</v>
      </c>
      <c r="P8" s="60">
        <f t="shared" si="0"/>
        <v>0.06</v>
      </c>
      <c r="R8" s="74" t="s">
        <v>438</v>
      </c>
      <c r="S8" s="292">
        <f>S7*'Insumos 1'!$G$13</f>
        <v>20.845470770217077</v>
      </c>
      <c r="V8" s="5">
        <f>$B$10*S7</f>
        <v>0.24580706265534893</v>
      </c>
    </row>
    <row r="9" spans="1:22" x14ac:dyDescent="0.2">
      <c r="A9" t="s">
        <v>345</v>
      </c>
      <c r="E9" s="5">
        <f>K9</f>
        <v>0</v>
      </c>
      <c r="F9" s="32">
        <f>L9</f>
        <v>52.808525951216588</v>
      </c>
      <c r="G9" s="32">
        <f>M9</f>
        <v>71.337833302520664</v>
      </c>
      <c r="H9" s="32">
        <f>N9</f>
        <v>100.98472506460718</v>
      </c>
      <c r="J9" s="36" t="s">
        <v>438</v>
      </c>
      <c r="K9" s="61">
        <f>K8*'Insumos 1'!$G$13</f>
        <v>0</v>
      </c>
      <c r="L9" s="61">
        <f>L8*'Insumos 1'!$G$13</f>
        <v>52.808525951216588</v>
      </c>
      <c r="M9" s="68">
        <f>M8*'Insumos 1'!$G$13</f>
        <v>71.337833302520664</v>
      </c>
      <c r="N9" s="69">
        <f>N8*'Insumos 1'!$G$13</f>
        <v>100.98472506460718</v>
      </c>
      <c r="O9" s="69">
        <f>O8*'Insumos 1'!$G$13</f>
        <v>0</v>
      </c>
      <c r="P9" s="69">
        <f>P8*'Insumos 1'!$G$13</f>
        <v>5.55879220539122</v>
      </c>
    </row>
    <row r="10" spans="1:22" x14ac:dyDescent="0.2">
      <c r="B10" s="13">
        <f>[2]INSUMOS!$K$14</f>
        <v>1.092475834023773</v>
      </c>
      <c r="E10" s="157">
        <f>$B$10*K8</f>
        <v>0</v>
      </c>
      <c r="F10" s="157">
        <f>$B$10*L8</f>
        <v>0.62271122539355062</v>
      </c>
      <c r="G10" s="157">
        <f>$B$10*M8</f>
        <v>0.84120639219830529</v>
      </c>
      <c r="H10" s="157">
        <f>$B$10*N8</f>
        <v>1.1907986590859128</v>
      </c>
      <c r="J10" s="338" t="s">
        <v>557</v>
      </c>
      <c r="K10" s="338"/>
      <c r="L10" s="338"/>
      <c r="M10" s="338"/>
      <c r="N10" s="338"/>
      <c r="O10" s="338"/>
      <c r="P10" s="338"/>
      <c r="R10" s="361" t="s">
        <v>556</v>
      </c>
      <c r="S10" s="361"/>
      <c r="U10" t="s">
        <v>425</v>
      </c>
      <c r="V10" s="5">
        <f>'Insumos 2'!T92</f>
        <v>19.219178731617646</v>
      </c>
    </row>
    <row r="11" spans="1:22" x14ac:dyDescent="0.2">
      <c r="A11" t="s">
        <v>557</v>
      </c>
      <c r="E11" s="5">
        <f>K16</f>
        <v>7.6173638641468671</v>
      </c>
      <c r="F11" s="32">
        <f>L16</f>
        <v>10.881948377352666</v>
      </c>
      <c r="G11" s="32">
        <f>M16</f>
        <v>17.411117403764266</v>
      </c>
      <c r="H11" s="32">
        <f>N16</f>
        <v>27.204870943381664</v>
      </c>
      <c r="J11" s="29" t="s">
        <v>369</v>
      </c>
      <c r="K11" s="160" t="s">
        <v>370</v>
      </c>
      <c r="L11" s="30" t="s">
        <v>371</v>
      </c>
      <c r="M11" s="42" t="s">
        <v>372</v>
      </c>
      <c r="N11" s="29" t="s">
        <v>373</v>
      </c>
      <c r="O11" s="29" t="s">
        <v>448</v>
      </c>
      <c r="P11" s="49" t="s">
        <v>375</v>
      </c>
      <c r="R11" s="74" t="s">
        <v>369</v>
      </c>
      <c r="S11" s="74" t="s">
        <v>370</v>
      </c>
      <c r="U11" t="s">
        <v>556</v>
      </c>
      <c r="V11" s="5">
        <f>S13</f>
        <v>3.1611760116421568</v>
      </c>
    </row>
    <row r="12" spans="1:22" x14ac:dyDescent="0.2">
      <c r="B12" s="13">
        <f>[2]INSUMOS!$K$12</f>
        <v>1.9249184965342434</v>
      </c>
      <c r="E12" s="13">
        <f>$B$12*K15</f>
        <v>0.13474429475739705</v>
      </c>
      <c r="F12" s="13">
        <f>$B$12*L15</f>
        <v>0.19249184965342436</v>
      </c>
      <c r="G12" s="13">
        <f>$B$12*M15</f>
        <v>0.30798695944547894</v>
      </c>
      <c r="H12" s="13">
        <f>$B$12*N15</f>
        <v>0.48122962413356085</v>
      </c>
      <c r="J12" s="29" t="s">
        <v>457</v>
      </c>
      <c r="K12" s="29"/>
      <c r="L12" s="60">
        <v>0</v>
      </c>
      <c r="M12" s="60">
        <v>0</v>
      </c>
      <c r="N12" s="60">
        <v>0</v>
      </c>
      <c r="O12" s="60">
        <v>0</v>
      </c>
      <c r="P12" s="49">
        <v>0</v>
      </c>
      <c r="R12" s="74"/>
      <c r="S12" s="298">
        <v>0.08</v>
      </c>
      <c r="V12" s="5">
        <f>$B$15*S12</f>
        <v>3.1240143919753077E-2</v>
      </c>
    </row>
    <row r="13" spans="1:22" x14ac:dyDescent="0.2">
      <c r="A13" t="s">
        <v>425</v>
      </c>
      <c r="E13" s="5">
        <f>'Insumos 2'!T92</f>
        <v>19.219178731617646</v>
      </c>
      <c r="F13" s="32">
        <f>'Insumos 2'!U90</f>
        <v>38.438357463235292</v>
      </c>
      <c r="G13" s="32">
        <f>'Insumos 2'!V90</f>
        <v>64.063929105392148</v>
      </c>
      <c r="H13" s="32">
        <f>'Insumos 2'!W90</f>
        <v>96.095893658088215</v>
      </c>
      <c r="J13" s="29" t="s">
        <v>458</v>
      </c>
      <c r="K13" s="29"/>
      <c r="L13" s="60">
        <v>0</v>
      </c>
      <c r="M13" s="60">
        <v>0</v>
      </c>
      <c r="N13" s="60">
        <v>0</v>
      </c>
      <c r="O13" s="60">
        <v>0</v>
      </c>
      <c r="P13" s="49">
        <v>0</v>
      </c>
      <c r="R13" s="74" t="s">
        <v>438</v>
      </c>
      <c r="S13" s="292">
        <f>S12*'Insumos 1'!$G$32</f>
        <v>3.1611760116421568</v>
      </c>
      <c r="U13" t="s">
        <v>761</v>
      </c>
      <c r="V13" s="5">
        <f>'[2]ARMADO- EMBETUNADO'!$G$10</f>
        <v>8.0532550935003613</v>
      </c>
    </row>
    <row r="14" spans="1:22" ht="16" thickBot="1" x14ac:dyDescent="0.25">
      <c r="A14" t="s">
        <v>556</v>
      </c>
      <c r="E14" s="5">
        <f>K20</f>
        <v>3.1611760116421568</v>
      </c>
      <c r="F14" s="5">
        <f>L20</f>
        <v>6.3223520232843136</v>
      </c>
      <c r="G14" s="5">
        <f>M20</f>
        <v>7.902940029105392</v>
      </c>
      <c r="H14" s="5">
        <f>N20</f>
        <v>10.273822037837009</v>
      </c>
      <c r="J14" s="29" t="s">
        <v>453</v>
      </c>
      <c r="K14" s="160">
        <v>7.0000000000000007E-2</v>
      </c>
      <c r="L14" s="71">
        <v>0.1</v>
      </c>
      <c r="M14" s="72">
        <v>0.16</v>
      </c>
      <c r="N14" s="73">
        <v>0.25</v>
      </c>
      <c r="O14" s="60">
        <v>0</v>
      </c>
      <c r="P14" s="49">
        <v>0.02</v>
      </c>
      <c r="U14" s="98" t="s">
        <v>444</v>
      </c>
      <c r="V14" s="295">
        <f>'Insumos 3'!O8</f>
        <v>11.486000000000001</v>
      </c>
    </row>
    <row r="15" spans="1:22" ht="16" thickTop="1" x14ac:dyDescent="0.2">
      <c r="B15" s="13">
        <f>[2]INSUMOS!$K$11</f>
        <v>0.39050179899691345</v>
      </c>
      <c r="E15" s="13">
        <f>$B$15*K19</f>
        <v>3.1240143919753077E-2</v>
      </c>
      <c r="F15" s="13">
        <f>$B$15*L19</f>
        <v>6.2480287839506155E-2</v>
      </c>
      <c r="G15" s="13">
        <f>$B$15*M19</f>
        <v>7.8100359799382693E-2</v>
      </c>
      <c r="H15" s="13">
        <f>$B$15*N19</f>
        <v>0.10153046773919749</v>
      </c>
      <c r="J15" s="29" t="s">
        <v>438</v>
      </c>
      <c r="K15" s="60">
        <f>SUM(K12:K14)</f>
        <v>7.0000000000000007E-2</v>
      </c>
      <c r="L15" s="60">
        <f>SUM(L12:L14)</f>
        <v>0.1</v>
      </c>
      <c r="M15" s="60">
        <f t="shared" ref="M15:P15" si="1">SUM(M12:M14)</f>
        <v>0.16</v>
      </c>
      <c r="N15" s="60">
        <f t="shared" si="1"/>
        <v>0.25</v>
      </c>
      <c r="O15" s="60">
        <f t="shared" si="1"/>
        <v>0</v>
      </c>
      <c r="P15" s="60">
        <f t="shared" si="1"/>
        <v>0.02</v>
      </c>
      <c r="U15" t="s">
        <v>455</v>
      </c>
      <c r="V15" s="5">
        <f>SUM(V5:V14)</f>
        <v>76.632018997728991</v>
      </c>
    </row>
    <row r="16" spans="1:22" x14ac:dyDescent="0.2">
      <c r="A16" t="s">
        <v>761</v>
      </c>
      <c r="E16" s="13">
        <f>'[2]ARMADO- EMBETUNADO'!$G$10</f>
        <v>8.0532550935003613</v>
      </c>
      <c r="F16" s="13">
        <f>'[2]ARMADO- EMBETUNADO'!$G$10</f>
        <v>8.0532550935003613</v>
      </c>
      <c r="G16" s="13">
        <f>'[2]ARMADO- EMBETUNADO'!$G$10</f>
        <v>8.0532550935003613</v>
      </c>
      <c r="H16" s="13">
        <f>'[2]ARMADO- EMBETUNADO'!$G$10</f>
        <v>8.0532550935003613</v>
      </c>
      <c r="J16" s="70" t="s">
        <v>438</v>
      </c>
      <c r="K16" s="69">
        <f>K15*'Insumos 1'!$G$64</f>
        <v>7.6173638641468671</v>
      </c>
      <c r="L16" s="69">
        <f>L15*'Insumos 1'!$G$64</f>
        <v>10.881948377352666</v>
      </c>
      <c r="M16" s="69">
        <f>M15*'Insumos 1'!$G$64</f>
        <v>17.411117403764266</v>
      </c>
      <c r="N16" s="69">
        <f>N15*'Insumos 1'!$G$64</f>
        <v>27.204870943381664</v>
      </c>
      <c r="O16" s="69">
        <f>O15*'Insumos 1'!$G$64</f>
        <v>0</v>
      </c>
      <c r="P16" s="69">
        <f>P15*'Insumos 1'!$G$64</f>
        <v>2.1763896754705332</v>
      </c>
      <c r="U16" t="s">
        <v>782</v>
      </c>
      <c r="V16" s="5">
        <f>V15-V8-V12-V13</f>
        <v>68.301716697653518</v>
      </c>
    </row>
    <row r="17" spans="1:22" ht="16" thickBot="1" x14ac:dyDescent="0.25">
      <c r="A17" s="98" t="s">
        <v>444</v>
      </c>
      <c r="B17" s="98"/>
      <c r="C17" s="99">
        <f>'Insumos 3'!S8</f>
        <v>2.80714</v>
      </c>
      <c r="D17" s="98"/>
      <c r="E17" s="100">
        <f>'Insumos 3'!O8</f>
        <v>11.486000000000001</v>
      </c>
      <c r="F17" s="99">
        <f>'Insumos 3'!K8</f>
        <v>13.628489999999999</v>
      </c>
      <c r="G17" s="99">
        <f>'Insumos 3'!G8</f>
        <v>15.598399999999998</v>
      </c>
      <c r="H17" s="99">
        <f>'Insumos 3'!C7</f>
        <v>28.574509999999997</v>
      </c>
      <c r="J17" s="358" t="s">
        <v>556</v>
      </c>
      <c r="K17" s="359"/>
      <c r="L17" s="359"/>
      <c r="M17" s="359"/>
      <c r="N17" s="359"/>
      <c r="O17" s="359"/>
      <c r="P17" s="359"/>
      <c r="T17" s="51">
        <v>0.60799999999999998</v>
      </c>
      <c r="U17" t="s">
        <v>690</v>
      </c>
      <c r="V17" s="5">
        <f>(V15/(1-$T$17))</f>
        <v>195.48984438196172</v>
      </c>
    </row>
    <row r="18" spans="1:22" ht="16" thickTop="1" x14ac:dyDescent="0.2">
      <c r="A18" t="s">
        <v>455</v>
      </c>
      <c r="C18" s="127">
        <f>SUM(C5:C17)+(G18/10)</f>
        <v>26.295701968375589</v>
      </c>
      <c r="D18" s="127">
        <f>SUM(D5:D17)</f>
        <v>7.6324917063269888</v>
      </c>
      <c r="E18" s="127">
        <f>SUM(E5:E17)</f>
        <v>64.125646074693776</v>
      </c>
      <c r="F18" s="127">
        <f>SUM(F5:F17)</f>
        <v>163.26597082490252</v>
      </c>
      <c r="G18" s="127">
        <f>SUM(G5:G17)</f>
        <v>234.88561968375589</v>
      </c>
      <c r="H18" s="127">
        <f>SUM(H5:H17)</f>
        <v>350.57494438357611</v>
      </c>
      <c r="J18" s="40" t="s">
        <v>369</v>
      </c>
      <c r="K18" s="160" t="s">
        <v>370</v>
      </c>
      <c r="L18" s="30" t="s">
        <v>371</v>
      </c>
      <c r="M18" s="42" t="s">
        <v>372</v>
      </c>
      <c r="N18" s="29" t="s">
        <v>373</v>
      </c>
      <c r="O18" s="30" t="s">
        <v>448</v>
      </c>
      <c r="P18" s="49" t="s">
        <v>375</v>
      </c>
    </row>
    <row r="19" spans="1:22" ht="16" x14ac:dyDescent="0.2">
      <c r="A19" s="368" t="s">
        <v>791</v>
      </c>
      <c r="C19" s="5">
        <f>SUM(C5:C17)+(G19/10)</f>
        <v>24.756929470530412</v>
      </c>
      <c r="E19" s="32">
        <f>E18-E10-E12-E15-E16-E8-E6</f>
        <v>55.073609791583323</v>
      </c>
      <c r="F19" s="32">
        <f>F18-F10-F12-F15-F16-F8-F6</f>
        <v>150.67072666441072</v>
      </c>
      <c r="G19" s="32">
        <f>G18-G10-G12-G15-G16-G8-G6</f>
        <v>219.49789470530413</v>
      </c>
      <c r="H19" s="32">
        <f>H18-H10-H12-H15-H16-H8-H6</f>
        <v>331.58736627885474</v>
      </c>
      <c r="J19" s="54"/>
      <c r="K19" s="71">
        <v>0.08</v>
      </c>
      <c r="L19" s="71">
        <v>0.16</v>
      </c>
      <c r="M19" s="72">
        <v>0.2</v>
      </c>
      <c r="N19" s="73">
        <v>0.26</v>
      </c>
      <c r="O19" s="43">
        <v>0</v>
      </c>
      <c r="P19" s="49">
        <v>0.02</v>
      </c>
    </row>
    <row r="20" spans="1:22" x14ac:dyDescent="0.2">
      <c r="A20" t="s">
        <v>690</v>
      </c>
      <c r="B20" s="26">
        <v>0.55000000000000004</v>
      </c>
      <c r="C20" s="13">
        <f t="shared" ref="C20:H20" si="2">(C18/(1-$B$20))</f>
        <v>58.434893263056871</v>
      </c>
      <c r="D20" s="13">
        <f t="shared" si="2"/>
        <v>16.961092680726644</v>
      </c>
      <c r="E20" s="13">
        <f>(E18/(1-$B$20))</f>
        <v>142.50143572154172</v>
      </c>
      <c r="F20" s="13">
        <f t="shared" si="2"/>
        <v>362.81326849978342</v>
      </c>
      <c r="G20" s="13">
        <f t="shared" si="2"/>
        <v>521.96804374167982</v>
      </c>
      <c r="H20" s="13">
        <f t="shared" si="2"/>
        <v>779.05543196350254</v>
      </c>
      <c r="J20" s="33" t="s">
        <v>438</v>
      </c>
      <c r="K20" s="57">
        <f>K19*'Insumos 1'!$G$32</f>
        <v>3.1611760116421568</v>
      </c>
      <c r="L20" s="57">
        <f>L19*'Insumos 1'!$G$32</f>
        <v>6.3223520232843136</v>
      </c>
      <c r="M20" s="57">
        <f>M19*'Insumos 1'!$G$32</f>
        <v>7.902940029105392</v>
      </c>
      <c r="N20" s="57">
        <f>N19*'Insumos 1'!$G$32</f>
        <v>10.273822037837009</v>
      </c>
      <c r="O20" s="57">
        <f>O19*'Insumos 1'!$G$32</f>
        <v>0</v>
      </c>
      <c r="P20" s="57">
        <f>P19*'Insumos 1'!$G$32</f>
        <v>0.7902940029105392</v>
      </c>
    </row>
    <row r="21" spans="1:22" x14ac:dyDescent="0.2">
      <c r="B21" s="51"/>
      <c r="C21" s="32"/>
      <c r="D21" s="32"/>
      <c r="E21" s="32"/>
      <c r="F21" s="32"/>
      <c r="G21" s="32"/>
      <c r="H21" s="32"/>
    </row>
    <row r="23" spans="1:22" x14ac:dyDescent="0.2">
      <c r="C23" s="32"/>
      <c r="D23" s="32"/>
      <c r="E23" s="32"/>
      <c r="F23" s="32"/>
      <c r="G23" s="32"/>
      <c r="H23" s="32"/>
    </row>
    <row r="25" spans="1:22" x14ac:dyDescent="0.2">
      <c r="A25" t="s">
        <v>455</v>
      </c>
      <c r="B25" s="51"/>
      <c r="C25" s="32">
        <v>23.174150416636486</v>
      </c>
      <c r="D25" s="32">
        <v>8.0694823215002458</v>
      </c>
      <c r="E25" s="32">
        <v>54.464061039345097</v>
      </c>
      <c r="F25" s="32">
        <v>130.2764081169978</v>
      </c>
      <c r="G25" s="32">
        <v>203.47001616636487</v>
      </c>
      <c r="H25" s="32">
        <v>323.80188566220079</v>
      </c>
    </row>
    <row r="26" spans="1:22" x14ac:dyDescent="0.2">
      <c r="A26" t="s">
        <v>625</v>
      </c>
      <c r="C26" s="5">
        <v>31.155378867686721</v>
      </c>
      <c r="D26" s="5">
        <v>8.1158853233482642</v>
      </c>
      <c r="E26" s="5">
        <v>55.913650552869825</v>
      </c>
      <c r="F26" s="5">
        <v>142.63031496332405</v>
      </c>
      <c r="G26" s="5">
        <v>219.78405534353388</v>
      </c>
      <c r="H26" s="5">
        <v>350.72470062014565</v>
      </c>
    </row>
    <row r="27" spans="1:22" x14ac:dyDescent="0.2">
      <c r="A27" t="s">
        <v>658</v>
      </c>
      <c r="C27" s="5">
        <v>25.361293371887754</v>
      </c>
      <c r="D27" s="5">
        <v>8.2857257488801803</v>
      </c>
      <c r="E27" s="5">
        <v>56.741434045740917</v>
      </c>
      <c r="F27" s="5">
        <v>154.59771926010757</v>
      </c>
      <c r="G27" s="5">
        <v>225.54156705221089</v>
      </c>
      <c r="H27" s="5">
        <v>340.72385253917633</v>
      </c>
    </row>
    <row r="30" spans="1:22" x14ac:dyDescent="0.2">
      <c r="G30" s="32"/>
    </row>
  </sheetData>
  <mergeCells count="7">
    <mergeCell ref="J17:P17"/>
    <mergeCell ref="C3:H3"/>
    <mergeCell ref="R4:S4"/>
    <mergeCell ref="R10:S10"/>
    <mergeCell ref="U3:V3"/>
    <mergeCell ref="J3:P3"/>
    <mergeCell ref="J10:P10"/>
  </mergeCells>
  <pageMargins left="0.7" right="0.7" top="0.75" bottom="0.75" header="0.3" footer="0.3"/>
  <pageSetup orientation="portrait" horizontalDpi="0" verticalDpi="0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8998D8-0D29-4725-99F4-FA6AE411E271}">
  <sheetPr codeName="Hoja14"/>
  <dimension ref="A2:V26"/>
  <sheetViews>
    <sheetView topLeftCell="I1" workbookViewId="0">
      <selection activeCell="T5" sqref="T5"/>
    </sheetView>
  </sheetViews>
  <sheetFormatPr baseColWidth="10" defaultColWidth="9.1640625" defaultRowHeight="15" x14ac:dyDescent="0.2"/>
  <cols>
    <col min="1" max="1" width="19.33203125" bestFit="1" customWidth="1"/>
    <col min="6" max="7" width="10.33203125" bestFit="1" customWidth="1"/>
    <col min="8" max="8" width="11.33203125" bestFit="1" customWidth="1"/>
    <col min="10" max="10" width="16.5" customWidth="1"/>
    <col min="12" max="12" width="9.6640625" bestFit="1" customWidth="1"/>
    <col min="13" max="13" width="9.83203125" bestFit="1" customWidth="1"/>
    <col min="14" max="14" width="11.5" bestFit="1" customWidth="1"/>
    <col min="16" max="16" width="9.5" bestFit="1" customWidth="1"/>
    <col min="17" max="17" width="6.83203125" customWidth="1"/>
    <col min="18" max="18" width="10.33203125" customWidth="1"/>
    <col min="19" max="19" width="8.6640625" customWidth="1"/>
    <col min="20" max="20" width="10.5" customWidth="1"/>
    <col min="21" max="21" width="14.5" customWidth="1"/>
  </cols>
  <sheetData>
    <row r="2" spans="1:22" x14ac:dyDescent="0.2">
      <c r="C2" s="310" t="s">
        <v>444</v>
      </c>
      <c r="D2" s="310"/>
      <c r="E2" s="310"/>
      <c r="F2" s="310"/>
      <c r="G2" s="310"/>
      <c r="H2" s="310"/>
      <c r="J2" s="353" t="s">
        <v>345</v>
      </c>
      <c r="K2" s="353"/>
      <c r="L2" s="353"/>
      <c r="M2" s="353"/>
      <c r="N2" s="353"/>
      <c r="O2" s="353"/>
      <c r="P2" s="353"/>
      <c r="R2" s="363" t="s">
        <v>827</v>
      </c>
      <c r="S2" s="363"/>
      <c r="U2" s="362" t="s">
        <v>833</v>
      </c>
      <c r="V2" s="362"/>
    </row>
    <row r="3" spans="1:22" x14ac:dyDescent="0.2">
      <c r="A3" s="20" t="s">
        <v>445</v>
      </c>
      <c r="B3" s="20"/>
      <c r="C3" s="20" t="s">
        <v>413</v>
      </c>
      <c r="D3" s="20" t="s">
        <v>375</v>
      </c>
      <c r="E3" s="20" t="s">
        <v>370</v>
      </c>
      <c r="F3" s="20" t="s">
        <v>371</v>
      </c>
      <c r="G3" s="20" t="s">
        <v>372</v>
      </c>
      <c r="H3" s="20" t="s">
        <v>373</v>
      </c>
      <c r="J3" s="33" t="s">
        <v>369</v>
      </c>
      <c r="K3" s="33" t="s">
        <v>370</v>
      </c>
      <c r="L3" s="33" t="s">
        <v>371</v>
      </c>
      <c r="M3" s="33" t="s">
        <v>372</v>
      </c>
      <c r="N3" s="33" t="s">
        <v>373</v>
      </c>
      <c r="O3" s="33" t="s">
        <v>448</v>
      </c>
      <c r="P3" s="2" t="s">
        <v>375</v>
      </c>
      <c r="R3" s="74" t="s">
        <v>369</v>
      </c>
      <c r="S3" s="74" t="s">
        <v>370</v>
      </c>
      <c r="U3" s="159" t="s">
        <v>445</v>
      </c>
      <c r="V3" s="3" t="s">
        <v>370</v>
      </c>
    </row>
    <row r="4" spans="1:22" x14ac:dyDescent="0.2">
      <c r="A4" t="s">
        <v>564</v>
      </c>
      <c r="E4" s="5">
        <f>'Insumos 2'!T83</f>
        <v>14.416928778617647</v>
      </c>
      <c r="F4" s="5">
        <f>'Insumos 2'!U83</f>
        <v>32.22607609338062</v>
      </c>
      <c r="G4" s="5">
        <f>'Insumos 2'!V83</f>
        <v>48.339114140070926</v>
      </c>
      <c r="H4" s="5">
        <f>'Insumos 2'!W83</f>
        <v>75.476862429233563</v>
      </c>
      <c r="J4" s="33" t="s">
        <v>450</v>
      </c>
      <c r="K4" s="33">
        <v>0.22</v>
      </c>
      <c r="L4" s="87">
        <v>0.57999999999999996</v>
      </c>
      <c r="M4" s="87">
        <v>0.8</v>
      </c>
      <c r="N4" s="87">
        <v>0.96</v>
      </c>
      <c r="O4" s="87">
        <v>0</v>
      </c>
      <c r="P4" s="2">
        <v>0.02</v>
      </c>
      <c r="R4" s="74" t="s">
        <v>450</v>
      </c>
      <c r="S4" s="74">
        <v>0.22500000000000001</v>
      </c>
      <c r="U4" t="s">
        <v>564</v>
      </c>
      <c r="V4" s="5">
        <f>'Insumos 2'!T83</f>
        <v>14.416928778617647</v>
      </c>
    </row>
    <row r="5" spans="1:22" x14ac:dyDescent="0.2">
      <c r="E5" s="5">
        <f>[2]PAN!$L$19</f>
        <v>0.96969280643393785</v>
      </c>
      <c r="F5" s="5">
        <f>[2]PAN!$L$18*2</f>
        <v>4.2666483483093263</v>
      </c>
      <c r="G5" s="5">
        <f>[2]PAN!$L$17*2</f>
        <v>7.1110805805155444</v>
      </c>
      <c r="H5" s="5">
        <f>[2]PAN!$L$16*2</f>
        <v>10.666620870773317</v>
      </c>
      <c r="J5" s="33" t="s">
        <v>452</v>
      </c>
      <c r="K5" s="33">
        <v>7.0000000000000007E-2</v>
      </c>
      <c r="L5" s="87">
        <v>0.17</v>
      </c>
      <c r="M5" s="87">
        <v>0.23</v>
      </c>
      <c r="N5" s="87">
        <v>0.38</v>
      </c>
      <c r="O5" s="87">
        <v>0</v>
      </c>
      <c r="P5" s="2">
        <v>0.04</v>
      </c>
      <c r="R5" s="74" t="s">
        <v>452</v>
      </c>
      <c r="S5" s="74">
        <v>7.0000000000000007E-2</v>
      </c>
      <c r="U5" t="s">
        <v>469</v>
      </c>
      <c r="V5" s="5">
        <f>S7</f>
        <v>27.330728343173501</v>
      </c>
    </row>
    <row r="6" spans="1:22" x14ac:dyDescent="0.2">
      <c r="A6" t="s">
        <v>469</v>
      </c>
      <c r="E6" s="5">
        <f>K8</f>
        <v>26.867495659390901</v>
      </c>
      <c r="F6" s="32">
        <f>L8</f>
        <v>69.48490256739025</v>
      </c>
      <c r="G6" s="32">
        <f>M8</f>
        <v>95.425932859215948</v>
      </c>
      <c r="H6" s="32">
        <f>N8</f>
        <v>124.14635925373723</v>
      </c>
      <c r="J6" s="33" t="s">
        <v>453</v>
      </c>
      <c r="K6" s="33"/>
      <c r="L6" s="87"/>
      <c r="M6" s="87"/>
      <c r="N6" s="87"/>
      <c r="O6" s="87"/>
      <c r="P6" s="2"/>
      <c r="R6" s="74" t="s">
        <v>438</v>
      </c>
      <c r="S6" s="297">
        <f>SUM(S4:S5)</f>
        <v>0.29500000000000004</v>
      </c>
      <c r="V6" s="5">
        <f>$B$7*S6</f>
        <v>0.32228037103701307</v>
      </c>
    </row>
    <row r="7" spans="1:22" x14ac:dyDescent="0.2">
      <c r="B7" s="13">
        <f>[2]INSUMOS!$K$14</f>
        <v>1.092475834023773</v>
      </c>
      <c r="E7" s="13">
        <f>$B$7*K7</f>
        <v>0.31681799186689419</v>
      </c>
      <c r="F7" s="13">
        <f>$B$7*L7</f>
        <v>0.81935687551782976</v>
      </c>
      <c r="G7" s="13">
        <f>$B$7*M7</f>
        <v>1.1252501090444862</v>
      </c>
      <c r="H7" s="13">
        <f>$B$7*N7</f>
        <v>1.4639176175918558</v>
      </c>
      <c r="J7" s="33" t="s">
        <v>438</v>
      </c>
      <c r="K7" s="87">
        <f>SUM(K4:K6)</f>
        <v>0.29000000000000004</v>
      </c>
      <c r="L7" s="87">
        <f>SUM(L4:L6)</f>
        <v>0.75</v>
      </c>
      <c r="M7" s="87">
        <f t="shared" ref="M7:P7" si="0">SUM(M4:M6)</f>
        <v>1.03</v>
      </c>
      <c r="N7" s="87">
        <f t="shared" si="0"/>
        <v>1.3399999999999999</v>
      </c>
      <c r="O7" s="87">
        <f t="shared" si="0"/>
        <v>0</v>
      </c>
      <c r="P7" s="87">
        <f t="shared" si="0"/>
        <v>0.06</v>
      </c>
      <c r="R7" s="74" t="s">
        <v>438</v>
      </c>
      <c r="S7" s="292">
        <f>S6*'Insumos 1'!$G$13</f>
        <v>27.330728343173501</v>
      </c>
      <c r="V7" s="5"/>
    </row>
    <row r="8" spans="1:22" x14ac:dyDescent="0.2">
      <c r="A8" t="s">
        <v>565</v>
      </c>
      <c r="E8" s="5">
        <f>K13</f>
        <v>8.9310740740740737</v>
      </c>
      <c r="F8" s="32">
        <f>L13</f>
        <v>17.862148148148147</v>
      </c>
      <c r="G8" s="32">
        <f>M13</f>
        <v>31.258759259259261</v>
      </c>
      <c r="H8" s="32">
        <f>N13</f>
        <v>40.189833333333326</v>
      </c>
      <c r="J8" s="36" t="s">
        <v>438</v>
      </c>
      <c r="K8" s="61">
        <f>K7*'Insumos 1'!$G$13</f>
        <v>26.867495659390901</v>
      </c>
      <c r="L8" s="61">
        <f>L7*'Insumos 1'!$G$13</f>
        <v>69.48490256739025</v>
      </c>
      <c r="M8" s="196">
        <f>M7*'Insumos 1'!$G$13</f>
        <v>95.425932859215948</v>
      </c>
      <c r="N8" s="197">
        <f>N7*'Insumos 1'!$G$13</f>
        <v>124.14635925373723</v>
      </c>
      <c r="O8" s="197">
        <f>O7*'Insumos 1'!$G$13</f>
        <v>0</v>
      </c>
      <c r="P8" s="197">
        <f>P7*'Insumos 1'!$G$13</f>
        <v>5.55879220539122</v>
      </c>
      <c r="U8" t="s">
        <v>566</v>
      </c>
      <c r="V8" s="5">
        <f>S11</f>
        <v>9.2407777777777778</v>
      </c>
    </row>
    <row r="9" spans="1:22" x14ac:dyDescent="0.2">
      <c r="B9" s="13">
        <f>[2]INSUMOS!$K$13</f>
        <v>3.0627592078189294</v>
      </c>
      <c r="E9" s="13">
        <f>$B$9*K12</f>
        <v>0.12251036831275718</v>
      </c>
      <c r="F9" s="13">
        <f>$B$9*L12</f>
        <v>0.24502073662551435</v>
      </c>
      <c r="G9" s="13">
        <f>$B$9*M12</f>
        <v>0.42878628909465016</v>
      </c>
      <c r="H9" s="13">
        <f>$B$9*N12</f>
        <v>0.5512966574074073</v>
      </c>
      <c r="J9" s="338" t="s">
        <v>565</v>
      </c>
      <c r="K9" s="338"/>
      <c r="L9" s="338"/>
      <c r="M9" s="338"/>
      <c r="N9" s="338"/>
      <c r="O9" s="338"/>
      <c r="P9" s="338"/>
      <c r="R9" s="363" t="s">
        <v>566</v>
      </c>
      <c r="S9" s="363"/>
      <c r="U9" t="s">
        <v>761</v>
      </c>
      <c r="V9" s="5">
        <f>'[2]ARMADO- EMBETUNADO'!$G$12</f>
        <v>4.6776686083052743</v>
      </c>
    </row>
    <row r="10" spans="1:22" ht="16" thickBot="1" x14ac:dyDescent="0.25">
      <c r="A10" t="s">
        <v>194</v>
      </c>
      <c r="E10" s="5">
        <f>K17</f>
        <v>3.1982900000000001</v>
      </c>
      <c r="F10" s="32">
        <f>L17</f>
        <v>4.7974350000000001</v>
      </c>
      <c r="G10" s="32">
        <f>M17</f>
        <v>6.3965800000000002</v>
      </c>
      <c r="H10" s="32">
        <f>N17</f>
        <v>7.9957250000000002</v>
      </c>
      <c r="J10" s="29" t="s">
        <v>369</v>
      </c>
      <c r="K10" s="160" t="s">
        <v>370</v>
      </c>
      <c r="L10" s="30" t="s">
        <v>371</v>
      </c>
      <c r="M10" s="42" t="s">
        <v>372</v>
      </c>
      <c r="N10" s="29" t="s">
        <v>373</v>
      </c>
      <c r="O10" s="29" t="s">
        <v>448</v>
      </c>
      <c r="P10" s="49" t="s">
        <v>375</v>
      </c>
      <c r="R10" s="74" t="s">
        <v>458</v>
      </c>
      <c r="S10" s="74">
        <v>3.5000000000000003E-2</v>
      </c>
      <c r="U10" s="98" t="s">
        <v>444</v>
      </c>
      <c r="V10" s="100">
        <f>'Insumos 3'!O8</f>
        <v>11.486000000000001</v>
      </c>
    </row>
    <row r="11" spans="1:22" ht="16" thickTop="1" x14ac:dyDescent="0.2">
      <c r="A11" t="s">
        <v>566</v>
      </c>
      <c r="E11" s="5">
        <f>K20</f>
        <v>9.2407777777777778</v>
      </c>
      <c r="F11" s="32">
        <f>L20</f>
        <v>18.481555555555556</v>
      </c>
      <c r="G11" s="32">
        <f>M20</f>
        <v>31.682666666666663</v>
      </c>
      <c r="H11" s="32">
        <f>N20</f>
        <v>44.883777777777773</v>
      </c>
      <c r="J11" s="29" t="s">
        <v>453</v>
      </c>
      <c r="K11" s="29">
        <v>0.04</v>
      </c>
      <c r="L11" s="60">
        <v>0.08</v>
      </c>
      <c r="M11" s="48">
        <v>0.14000000000000001</v>
      </c>
      <c r="N11" s="60">
        <v>0.18</v>
      </c>
      <c r="O11" s="60">
        <v>0.5</v>
      </c>
      <c r="P11" s="49">
        <v>0.02</v>
      </c>
      <c r="R11" s="296" t="s">
        <v>834</v>
      </c>
      <c r="S11" s="299">
        <f>S10*'Costo Materia Prima'!$I$84</f>
        <v>9.2407777777777778</v>
      </c>
      <c r="U11" t="s">
        <v>455</v>
      </c>
      <c r="V11" s="127">
        <f>SUM(V4:V10)</f>
        <v>67.474383878911212</v>
      </c>
    </row>
    <row r="12" spans="1:22" x14ac:dyDescent="0.2">
      <c r="A12" t="s">
        <v>761</v>
      </c>
      <c r="E12" s="13">
        <f>'[2]ARMADO- EMBETUNADO'!$G$12</f>
        <v>4.6776686083052743</v>
      </c>
      <c r="F12" s="13">
        <f>'[2]ARMADO- EMBETUNADO'!$G$12</f>
        <v>4.6776686083052743</v>
      </c>
      <c r="G12" s="13">
        <f>'[2]ARMADO- EMBETUNADO'!$G$12</f>
        <v>4.6776686083052743</v>
      </c>
      <c r="H12" s="13">
        <f>'[2]ARMADO- EMBETUNADO'!$G$12</f>
        <v>4.6776686083052743</v>
      </c>
      <c r="J12" s="29" t="s">
        <v>438</v>
      </c>
      <c r="K12" s="60">
        <f>SUM(K11)</f>
        <v>0.04</v>
      </c>
      <c r="L12" s="60">
        <f>SUM(L11)</f>
        <v>0.08</v>
      </c>
      <c r="M12" s="60">
        <f t="shared" ref="M12:N12" si="1">SUM(M11)</f>
        <v>0.14000000000000001</v>
      </c>
      <c r="N12" s="60">
        <f t="shared" si="1"/>
        <v>0.18</v>
      </c>
      <c r="O12" s="60">
        <f>SUM(O11)</f>
        <v>0.5</v>
      </c>
      <c r="P12" s="60">
        <f t="shared" ref="P12" si="2">SUM(P11)</f>
        <v>0.02</v>
      </c>
      <c r="U12" t="s">
        <v>782</v>
      </c>
      <c r="V12" s="32">
        <f>V11-V6-V9</f>
        <v>62.474434899568926</v>
      </c>
    </row>
    <row r="13" spans="1:22" ht="16" thickBot="1" x14ac:dyDescent="0.25">
      <c r="A13" s="98" t="s">
        <v>444</v>
      </c>
      <c r="B13" s="98"/>
      <c r="C13" s="99">
        <f>'Insumos 3'!S8</f>
        <v>2.80714</v>
      </c>
      <c r="D13" s="98"/>
      <c r="E13" s="100">
        <f>'Insumos 3'!O8</f>
        <v>11.486000000000001</v>
      </c>
      <c r="F13" s="99">
        <f>'Insumos 3'!K8</f>
        <v>13.628489999999999</v>
      </c>
      <c r="G13" s="99">
        <f>'Insumos 3'!G8</f>
        <v>15.598399999999998</v>
      </c>
      <c r="H13" s="99">
        <f>'Insumos 3'!C7</f>
        <v>28.574509999999997</v>
      </c>
      <c r="J13" s="70" t="s">
        <v>438</v>
      </c>
      <c r="K13" s="89">
        <f>K12*'Insumos 1'!$G$51</f>
        <v>8.9310740740740737</v>
      </c>
      <c r="L13" s="89">
        <f>L12*'Insumos 1'!$G$51</f>
        <v>17.862148148148147</v>
      </c>
      <c r="M13" s="89">
        <f>M12*'Insumos 1'!$G$51</f>
        <v>31.258759259259261</v>
      </c>
      <c r="N13" s="89">
        <f>N12*'Insumos 1'!$G$51</f>
        <v>40.189833333333326</v>
      </c>
      <c r="O13" s="89">
        <f>O12*'Insumos 1'!$G$51</f>
        <v>111.63842592592592</v>
      </c>
      <c r="P13" s="89">
        <f>P12*'Insumos 1'!$G$51</f>
        <v>4.4655370370370369</v>
      </c>
      <c r="T13" s="51">
        <v>0.65500000000000003</v>
      </c>
      <c r="U13" t="s">
        <v>690</v>
      </c>
      <c r="V13" s="5">
        <f>(V11/(1-$T$13))</f>
        <v>195.57792428669919</v>
      </c>
    </row>
    <row r="14" spans="1:22" ht="16" thickTop="1" x14ac:dyDescent="0.2">
      <c r="A14" t="s">
        <v>455</v>
      </c>
      <c r="C14" s="127">
        <f>SUM(C4:C13)+(G14/10)</f>
        <v>27.011563851217279</v>
      </c>
      <c r="D14" s="127">
        <f>SUM(D4:D13)</f>
        <v>0</v>
      </c>
      <c r="E14" s="127">
        <f>SUM(E4:E13)</f>
        <v>80.227256064779255</v>
      </c>
      <c r="F14" s="127">
        <f>SUM(F4:F13)</f>
        <v>166.48930193323253</v>
      </c>
      <c r="G14" s="127">
        <f>SUM(G4:G13)</f>
        <v>242.04423851217277</v>
      </c>
      <c r="H14" s="127">
        <f>SUM(H4:H13)</f>
        <v>338.62657154815975</v>
      </c>
      <c r="J14" s="358" t="s">
        <v>194</v>
      </c>
      <c r="K14" s="359"/>
      <c r="L14" s="359"/>
      <c r="M14" s="359"/>
      <c r="N14" s="359"/>
      <c r="O14" s="359"/>
      <c r="P14" s="364"/>
    </row>
    <row r="15" spans="1:22" ht="16" x14ac:dyDescent="0.2">
      <c r="A15" s="368" t="s">
        <v>791</v>
      </c>
      <c r="C15" s="5">
        <f>SUM(C4:C13)+(G15/10)</f>
        <v>25.67728529252128</v>
      </c>
      <c r="E15" s="32">
        <f>E14-E12-E9-E7-E5</f>
        <v>74.140566289860388</v>
      </c>
      <c r="F15" s="32">
        <f>F14-F12-F9-F7-F5</f>
        <v>156.48060736447457</v>
      </c>
      <c r="G15" s="32">
        <f>G14-G12-G9-G7-G5</f>
        <v>228.70145292521281</v>
      </c>
      <c r="H15" s="32">
        <f>H14-H12-H9-H7-H5</f>
        <v>321.26706779408187</v>
      </c>
      <c r="J15" s="29" t="s">
        <v>369</v>
      </c>
      <c r="K15" s="160" t="s">
        <v>370</v>
      </c>
      <c r="L15" s="30" t="s">
        <v>371</v>
      </c>
      <c r="M15" s="42" t="s">
        <v>372</v>
      </c>
      <c r="N15" s="29" t="s">
        <v>373</v>
      </c>
      <c r="O15" s="29" t="s">
        <v>448</v>
      </c>
      <c r="P15" s="49" t="s">
        <v>375</v>
      </c>
    </row>
    <row r="16" spans="1:22" x14ac:dyDescent="0.2">
      <c r="B16" s="51"/>
      <c r="C16" s="32"/>
      <c r="D16" s="32"/>
      <c r="E16" s="32"/>
      <c r="F16" s="32"/>
      <c r="G16" s="32"/>
      <c r="H16" s="32"/>
      <c r="J16" s="29" t="s">
        <v>457</v>
      </c>
      <c r="K16" s="29">
        <v>0.01</v>
      </c>
      <c r="L16" s="60">
        <v>1.4999999999999999E-2</v>
      </c>
      <c r="M16" s="60">
        <v>0.02</v>
      </c>
      <c r="N16" s="60">
        <v>2.5000000000000001E-2</v>
      </c>
      <c r="O16" s="60">
        <v>0</v>
      </c>
      <c r="P16" s="49">
        <v>0</v>
      </c>
    </row>
    <row r="17" spans="1:16" x14ac:dyDescent="0.2">
      <c r="B17" s="51"/>
      <c r="C17" s="32"/>
      <c r="D17" s="32"/>
      <c r="E17" s="32"/>
      <c r="F17" s="32"/>
      <c r="G17" s="32"/>
      <c r="H17" s="32"/>
      <c r="J17" s="29" t="s">
        <v>438</v>
      </c>
      <c r="K17" s="101">
        <f>K16*'Costo Materia Prima'!$I$86</f>
        <v>3.1982900000000001</v>
      </c>
      <c r="L17" s="101">
        <f>L16*'Costo Materia Prima'!$I$86</f>
        <v>4.7974350000000001</v>
      </c>
      <c r="M17" s="101">
        <f>M16*'Costo Materia Prima'!$I$86</f>
        <v>6.3965800000000002</v>
      </c>
      <c r="N17" s="101">
        <f>N16*'Costo Materia Prima'!$I$86</f>
        <v>7.9957250000000002</v>
      </c>
      <c r="O17" s="101">
        <f>O16*'Costo Materia Prima'!$I$86</f>
        <v>0</v>
      </c>
      <c r="P17" s="101">
        <f>P16*'Costo Materia Prima'!$I$86</f>
        <v>0</v>
      </c>
    </row>
    <row r="18" spans="1:16" x14ac:dyDescent="0.2">
      <c r="J18" s="365" t="s">
        <v>566</v>
      </c>
      <c r="K18" s="365"/>
      <c r="L18" s="365"/>
      <c r="M18" s="365"/>
      <c r="N18" s="365"/>
      <c r="O18" s="365"/>
      <c r="P18" s="365"/>
    </row>
    <row r="19" spans="1:16" x14ac:dyDescent="0.2">
      <c r="C19" s="32"/>
      <c r="D19" s="32"/>
      <c r="E19" s="32"/>
      <c r="F19" s="32"/>
      <c r="G19" s="32"/>
      <c r="H19" s="32"/>
      <c r="J19" s="29" t="s">
        <v>458</v>
      </c>
      <c r="K19" s="29">
        <v>3.5000000000000003E-2</v>
      </c>
      <c r="L19" s="60">
        <v>7.0000000000000007E-2</v>
      </c>
      <c r="M19" s="60">
        <v>0.12</v>
      </c>
      <c r="N19" s="60">
        <v>0.17</v>
      </c>
      <c r="O19" s="60">
        <v>0</v>
      </c>
      <c r="P19" s="49">
        <v>0</v>
      </c>
    </row>
    <row r="20" spans="1:16" x14ac:dyDescent="0.2">
      <c r="J20" s="29" t="s">
        <v>834</v>
      </c>
      <c r="K20" s="53">
        <f>K19*'Costo Materia Prima'!$I$84</f>
        <v>9.2407777777777778</v>
      </c>
      <c r="L20" s="53">
        <f>L19*'Costo Materia Prima'!$I$84</f>
        <v>18.481555555555556</v>
      </c>
      <c r="M20" s="53">
        <f>M19*'Costo Materia Prima'!$I$84</f>
        <v>31.682666666666663</v>
      </c>
      <c r="N20" s="53">
        <f>N19*'Costo Materia Prima'!$I$84</f>
        <v>44.883777777777773</v>
      </c>
      <c r="O20" s="53">
        <f>O19*'Costo Materia Prima'!$I$84</f>
        <v>0</v>
      </c>
      <c r="P20" s="53">
        <f>P19*'Costo Materia Prima'!$I$84</f>
        <v>0</v>
      </c>
    </row>
    <row r="21" spans="1:16" x14ac:dyDescent="0.2">
      <c r="B21" s="51"/>
      <c r="C21" s="32"/>
      <c r="D21" s="32"/>
      <c r="E21" s="32"/>
      <c r="F21" s="32"/>
      <c r="G21" s="32"/>
      <c r="H21" s="32"/>
    </row>
    <row r="23" spans="1:16" x14ac:dyDescent="0.2">
      <c r="G23" s="26"/>
    </row>
    <row r="25" spans="1:16" x14ac:dyDescent="0.2">
      <c r="A25" s="198"/>
      <c r="C25" s="5"/>
      <c r="D25" s="5"/>
      <c r="E25" s="5"/>
      <c r="F25" s="5"/>
      <c r="G25" s="5"/>
      <c r="H25" s="5"/>
    </row>
    <row r="26" spans="1:16" x14ac:dyDescent="0.2">
      <c r="A26" s="198"/>
      <c r="C26" s="5"/>
      <c r="D26" s="5"/>
      <c r="E26" s="5"/>
      <c r="F26" s="5"/>
      <c r="G26" s="5"/>
      <c r="H26" s="5"/>
    </row>
  </sheetData>
  <mergeCells count="8">
    <mergeCell ref="J14:P14"/>
    <mergeCell ref="J18:P18"/>
    <mergeCell ref="C2:H2"/>
    <mergeCell ref="R2:S2"/>
    <mergeCell ref="R9:S9"/>
    <mergeCell ref="U2:V2"/>
    <mergeCell ref="J2:P2"/>
    <mergeCell ref="J9:P9"/>
  </mergeCells>
  <pageMargins left="0.7" right="0.7" top="0.75" bottom="0.75" header="0.3" footer="0.3"/>
  <pageSetup orientation="portrait" horizontalDpi="0" verticalDpi="0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DB6D6E-CA3A-4393-A1B0-D78D851590F5}">
  <sheetPr codeName="Hoja16"/>
  <dimension ref="A2:V31"/>
  <sheetViews>
    <sheetView topLeftCell="A7" zoomScale="215" workbookViewId="0">
      <selection activeCell="C14" sqref="C14"/>
    </sheetView>
  </sheetViews>
  <sheetFormatPr baseColWidth="10" defaultColWidth="9.1640625" defaultRowHeight="15" x14ac:dyDescent="0.2"/>
  <cols>
    <col min="1" max="1" width="20.83203125" bestFit="1" customWidth="1"/>
    <col min="6" max="7" width="10.33203125" bestFit="1" customWidth="1"/>
    <col min="8" max="8" width="10.1640625" bestFit="1" customWidth="1"/>
    <col min="10" max="10" width="16.5" bestFit="1" customWidth="1"/>
    <col min="11" max="11" width="9.6640625" bestFit="1" customWidth="1"/>
    <col min="14" max="14" width="9.83203125" bestFit="1" customWidth="1"/>
    <col min="15" max="15" width="11.5" bestFit="1" customWidth="1"/>
  </cols>
  <sheetData>
    <row r="2" spans="1:22" x14ac:dyDescent="0.2">
      <c r="C2" s="310" t="s">
        <v>444</v>
      </c>
      <c r="D2" s="310"/>
      <c r="E2" s="310"/>
      <c r="F2" s="310"/>
      <c r="G2" s="310"/>
      <c r="H2" s="310"/>
      <c r="I2" s="159"/>
      <c r="J2" s="339" t="s">
        <v>345</v>
      </c>
      <c r="K2" s="339"/>
      <c r="L2" s="339"/>
      <c r="M2" s="339"/>
      <c r="N2" s="339"/>
      <c r="O2" s="339"/>
      <c r="P2" s="339"/>
    </row>
    <row r="3" spans="1:22" x14ac:dyDescent="0.2">
      <c r="A3" s="20" t="s">
        <v>445</v>
      </c>
      <c r="B3" s="20"/>
      <c r="C3" s="20" t="s">
        <v>413</v>
      </c>
      <c r="D3" s="20" t="s">
        <v>375</v>
      </c>
      <c r="E3" s="20" t="s">
        <v>370</v>
      </c>
      <c r="F3" s="20" t="s">
        <v>371</v>
      </c>
      <c r="G3" s="20" t="s">
        <v>372</v>
      </c>
      <c r="H3" s="20" t="s">
        <v>373</v>
      </c>
      <c r="I3" s="20"/>
      <c r="J3" s="33" t="s">
        <v>369</v>
      </c>
      <c r="K3" s="33" t="s">
        <v>370</v>
      </c>
      <c r="L3" s="33" t="s">
        <v>371</v>
      </c>
      <c r="M3" s="33" t="s">
        <v>372</v>
      </c>
      <c r="N3" s="33" t="s">
        <v>373</v>
      </c>
      <c r="O3" s="33" t="s">
        <v>448</v>
      </c>
      <c r="P3" s="2" t="s">
        <v>375</v>
      </c>
    </row>
    <row r="4" spans="1:22" x14ac:dyDescent="0.2">
      <c r="A4" t="s">
        <v>564</v>
      </c>
      <c r="E4" s="32">
        <f>'Insumos 2'!T83</f>
        <v>14.416928778617647</v>
      </c>
      <c r="F4" s="32">
        <f>'Insumos 2'!U83</f>
        <v>32.22607609338062</v>
      </c>
      <c r="G4" s="32">
        <f>'Insumos 2'!V83</f>
        <v>48.339114140070926</v>
      </c>
      <c r="H4" s="32">
        <f>'Insumos 2'!W83</f>
        <v>75.476862429233563</v>
      </c>
      <c r="J4" s="33" t="s">
        <v>458</v>
      </c>
      <c r="K4" s="33">
        <v>0</v>
      </c>
      <c r="L4" s="87">
        <v>0.15</v>
      </c>
      <c r="M4" s="87">
        <v>0.22</v>
      </c>
      <c r="N4" s="87">
        <v>0.39</v>
      </c>
      <c r="O4" s="87">
        <v>0</v>
      </c>
      <c r="P4" s="2">
        <v>0</v>
      </c>
      <c r="R4" s="87">
        <v>0.11</v>
      </c>
      <c r="S4" s="87">
        <v>0.18</v>
      </c>
      <c r="T4" s="87">
        <v>0.22</v>
      </c>
      <c r="V4" s="13"/>
    </row>
    <row r="5" spans="1:22" x14ac:dyDescent="0.2">
      <c r="E5" s="32">
        <v>0</v>
      </c>
      <c r="F5" s="32">
        <f>[2]PAN!$L$18*2</f>
        <v>4.2666483483093263</v>
      </c>
      <c r="G5" s="32">
        <f>[2]PAN!$L$17*2</f>
        <v>7.1110805805155444</v>
      </c>
      <c r="H5" s="32">
        <f>[2]PAN!$L$16*2</f>
        <v>10.666620870773317</v>
      </c>
      <c r="J5" s="33" t="s">
        <v>659</v>
      </c>
      <c r="K5" s="33">
        <v>0</v>
      </c>
      <c r="L5" s="87">
        <v>8.5000000000000006E-2</v>
      </c>
      <c r="M5" s="87">
        <v>0.125</v>
      </c>
      <c r="N5" s="87">
        <v>0.186</v>
      </c>
      <c r="O5" s="87">
        <v>0</v>
      </c>
      <c r="P5" s="2">
        <v>0</v>
      </c>
      <c r="V5" s="13"/>
    </row>
    <row r="6" spans="1:22" x14ac:dyDescent="0.2">
      <c r="A6" t="s">
        <v>469</v>
      </c>
      <c r="E6" s="32">
        <f>K8</f>
        <v>0</v>
      </c>
      <c r="F6" s="32">
        <f>L8</f>
        <v>27.330728343173497</v>
      </c>
      <c r="G6" s="32">
        <f>M8</f>
        <v>38.448312753955939</v>
      </c>
      <c r="H6" s="32">
        <f>N8</f>
        <v>62.629058847407748</v>
      </c>
      <c r="J6" s="33" t="s">
        <v>660</v>
      </c>
      <c r="K6" s="33">
        <v>0</v>
      </c>
      <c r="L6" s="87">
        <v>0.06</v>
      </c>
      <c r="M6" s="87">
        <v>7.0000000000000007E-2</v>
      </c>
      <c r="N6" s="87">
        <v>0.1</v>
      </c>
      <c r="O6" s="87"/>
      <c r="P6" s="2"/>
      <c r="V6" s="13"/>
    </row>
    <row r="7" spans="1:22" x14ac:dyDescent="0.2">
      <c r="B7" s="13">
        <f>[2]INSUMOS!$K$14</f>
        <v>1.092475834023773</v>
      </c>
      <c r="E7" s="157">
        <f>$B$7*K7</f>
        <v>0</v>
      </c>
      <c r="F7" s="157">
        <f>$B$7*L7</f>
        <v>0.32228037103701301</v>
      </c>
      <c r="G7" s="157">
        <f>$B$7*M7</f>
        <v>0.45337747111986576</v>
      </c>
      <c r="H7" s="157">
        <f>$B$7*N7</f>
        <v>0.73851366380007066</v>
      </c>
      <c r="J7" s="33" t="s">
        <v>438</v>
      </c>
      <c r="K7" s="87">
        <f>SUM(K4:K6)</f>
        <v>0</v>
      </c>
      <c r="L7" s="87">
        <f>SUM(L4:L6)</f>
        <v>0.29499999999999998</v>
      </c>
      <c r="M7" s="87">
        <f t="shared" ref="M7:P7" si="0">SUM(M4:M6)</f>
        <v>0.41499999999999998</v>
      </c>
      <c r="N7" s="87">
        <f t="shared" si="0"/>
        <v>0.67600000000000005</v>
      </c>
      <c r="O7" s="87">
        <f t="shared" si="0"/>
        <v>0</v>
      </c>
      <c r="P7" s="87">
        <f t="shared" si="0"/>
        <v>0</v>
      </c>
      <c r="V7" s="13"/>
    </row>
    <row r="8" spans="1:22" x14ac:dyDescent="0.2">
      <c r="A8" t="s">
        <v>570</v>
      </c>
      <c r="E8" s="32">
        <f>K22</f>
        <v>0</v>
      </c>
      <c r="F8" s="32">
        <f>L22</f>
        <v>60.800641788567276</v>
      </c>
      <c r="G8" s="32">
        <f>M22</f>
        <v>84.185504014939312</v>
      </c>
      <c r="H8" s="32">
        <f>N22</f>
        <v>87.586938520593421</v>
      </c>
      <c r="J8" s="33" t="s">
        <v>438</v>
      </c>
      <c r="K8" s="88">
        <f>K7*'Insumos 1'!$G$13</f>
        <v>0</v>
      </c>
      <c r="L8" s="88">
        <f>L7*'Insumos 1'!$G$13</f>
        <v>27.330728343173497</v>
      </c>
      <c r="M8" s="88">
        <f>M7*'Insumos 1'!$G$13</f>
        <v>38.448312753955939</v>
      </c>
      <c r="N8" s="88">
        <f>N7*'Insumos 1'!$G$13</f>
        <v>62.629058847407748</v>
      </c>
      <c r="O8" s="88">
        <f>O7*'Insumos 1'!$G$13</f>
        <v>0</v>
      </c>
      <c r="P8" s="88">
        <f>P7*'Insumos 1'!$G$13</f>
        <v>0</v>
      </c>
      <c r="U8" s="26"/>
      <c r="V8" s="13"/>
    </row>
    <row r="9" spans="1:22" x14ac:dyDescent="0.2">
      <c r="B9" s="13">
        <f>[2]INSUMOS!$K$17</f>
        <v>12.275941228885785</v>
      </c>
      <c r="E9" s="157">
        <f>$B$9*K21</f>
        <v>0</v>
      </c>
      <c r="F9" s="157">
        <f>$B$9*L21</f>
        <v>8.7772979786533352</v>
      </c>
      <c r="G9" s="157">
        <f>$B$9*M21</f>
        <v>12.153181816596927</v>
      </c>
      <c r="H9" s="157">
        <f>$B$9*N21</f>
        <v>12.644219465752359</v>
      </c>
      <c r="J9" s="366" t="s">
        <v>569</v>
      </c>
      <c r="K9" s="366"/>
      <c r="L9" s="366"/>
      <c r="M9" s="366"/>
      <c r="N9" s="366"/>
      <c r="O9" s="366"/>
      <c r="P9" s="366"/>
      <c r="U9" s="26"/>
      <c r="V9" s="13"/>
    </row>
    <row r="10" spans="1:22" x14ac:dyDescent="0.2">
      <c r="A10" s="212" t="s">
        <v>568</v>
      </c>
      <c r="B10" s="212"/>
      <c r="C10" s="212"/>
      <c r="D10" s="212"/>
      <c r="E10" s="213">
        <f>K15</f>
        <v>0</v>
      </c>
      <c r="F10" s="213">
        <f>L15</f>
        <v>0</v>
      </c>
      <c r="G10" s="213">
        <f>M15</f>
        <v>0</v>
      </c>
      <c r="H10" s="213">
        <f>N15</f>
        <v>0</v>
      </c>
      <c r="J10" s="253" t="s">
        <v>369</v>
      </c>
      <c r="K10" s="253" t="s">
        <v>370</v>
      </c>
      <c r="L10" s="253" t="s">
        <v>371</v>
      </c>
      <c r="M10" s="253" t="s">
        <v>372</v>
      </c>
      <c r="N10" s="253" t="s">
        <v>373</v>
      </c>
      <c r="O10" s="253" t="s">
        <v>448</v>
      </c>
      <c r="P10" s="254" t="s">
        <v>375</v>
      </c>
      <c r="V10" s="13"/>
    </row>
    <row r="11" spans="1:22" x14ac:dyDescent="0.2">
      <c r="A11" t="s">
        <v>423</v>
      </c>
      <c r="E11" s="32">
        <f>K28</f>
        <v>0</v>
      </c>
      <c r="F11" s="32">
        <f>L28</f>
        <v>47.381568287037034</v>
      </c>
      <c r="G11" s="32">
        <f>M28</f>
        <v>68.111004412615742</v>
      </c>
      <c r="H11" s="32">
        <f>N28</f>
        <v>106.60852864583332</v>
      </c>
      <c r="J11" s="253" t="s">
        <v>457</v>
      </c>
      <c r="K11" s="253">
        <v>0</v>
      </c>
      <c r="L11" s="255">
        <v>0</v>
      </c>
      <c r="M11" s="255">
        <v>0</v>
      </c>
      <c r="N11" s="255">
        <v>0</v>
      </c>
      <c r="O11" s="255">
        <v>0</v>
      </c>
      <c r="P11" s="254">
        <v>0</v>
      </c>
    </row>
    <row r="12" spans="1:22" x14ac:dyDescent="0.2">
      <c r="A12" t="s">
        <v>761</v>
      </c>
      <c r="E12" s="13">
        <f>'[2]ARMADO- EMBETUNADO'!$G$11</f>
        <v>7.2281117304526727</v>
      </c>
      <c r="F12" s="13">
        <f>'[2]ARMADO- EMBETUNADO'!$G$11</f>
        <v>7.2281117304526727</v>
      </c>
      <c r="G12" s="13">
        <f>'[2]ARMADO- EMBETUNADO'!$G$11</f>
        <v>7.2281117304526727</v>
      </c>
      <c r="H12" s="13">
        <f>'[2]ARMADO- EMBETUNADO'!$G$11</f>
        <v>7.2281117304526727</v>
      </c>
      <c r="J12" s="253" t="s">
        <v>458</v>
      </c>
      <c r="K12" s="253">
        <v>0</v>
      </c>
      <c r="L12" s="255">
        <v>0</v>
      </c>
      <c r="M12" s="255">
        <v>0</v>
      </c>
      <c r="N12" s="255">
        <v>0</v>
      </c>
      <c r="O12" s="255">
        <v>0</v>
      </c>
      <c r="P12" s="254">
        <v>0</v>
      </c>
      <c r="V12" s="13"/>
    </row>
    <row r="13" spans="1:22" ht="16" thickBot="1" x14ac:dyDescent="0.25">
      <c r="A13" s="98" t="s">
        <v>444</v>
      </c>
      <c r="B13" s="98"/>
      <c r="C13" s="99">
        <f>'Insumos 3'!S8</f>
        <v>2.80714</v>
      </c>
      <c r="D13" s="98"/>
      <c r="E13" s="166">
        <f>'Insumos 3'!O8</f>
        <v>11.486000000000001</v>
      </c>
      <c r="F13" s="99">
        <f>'Insumos 3'!K8</f>
        <v>13.628489999999999</v>
      </c>
      <c r="G13" s="99">
        <f>'Insumos 3'!G8</f>
        <v>15.598399999999998</v>
      </c>
      <c r="H13" s="99">
        <f>'Insumos 3'!C7</f>
        <v>28.574509999999997</v>
      </c>
      <c r="J13" s="253" t="s">
        <v>453</v>
      </c>
      <c r="K13" s="253">
        <v>0</v>
      </c>
      <c r="L13" s="255">
        <v>0</v>
      </c>
      <c r="M13" s="255">
        <v>0</v>
      </c>
      <c r="N13" s="255">
        <v>0</v>
      </c>
      <c r="O13" s="255">
        <v>0</v>
      </c>
      <c r="P13" s="254">
        <v>0</v>
      </c>
    </row>
    <row r="14" spans="1:22" ht="16" thickTop="1" x14ac:dyDescent="0.2">
      <c r="A14" t="s">
        <v>455</v>
      </c>
      <c r="C14" s="127">
        <f>SUM(C4:C13)+(G14/10)</f>
        <v>30.969948692026694</v>
      </c>
      <c r="D14" s="127">
        <f>SUM(D4:D13)</f>
        <v>0</v>
      </c>
      <c r="E14" s="127">
        <f>SUM(E4:E13)</f>
        <v>33.131040509070317</v>
      </c>
      <c r="F14" s="127">
        <f>SUM(F4:F13)</f>
        <v>201.96184294061075</v>
      </c>
      <c r="G14" s="127">
        <f>SUM(G4:G13)</f>
        <v>281.62808692026692</v>
      </c>
      <c r="H14" s="127">
        <f>SUM(H4:H13)</f>
        <v>392.15336417384646</v>
      </c>
      <c r="J14" s="253" t="s">
        <v>438</v>
      </c>
      <c r="K14" s="255">
        <f>SUM(K11:K13)</f>
        <v>0</v>
      </c>
      <c r="L14" s="255">
        <f>SUM(L11:L13)</f>
        <v>0</v>
      </c>
      <c r="M14" s="255">
        <f t="shared" ref="M14:P14" si="1">SUM(M11:M13)</f>
        <v>0</v>
      </c>
      <c r="N14" s="255">
        <f t="shared" si="1"/>
        <v>0</v>
      </c>
      <c r="O14" s="255">
        <f t="shared" si="1"/>
        <v>0</v>
      </c>
      <c r="P14" s="255">
        <f t="shared" si="1"/>
        <v>0</v>
      </c>
    </row>
    <row r="15" spans="1:22" ht="16" x14ac:dyDescent="0.2">
      <c r="A15" s="368" t="s">
        <v>791</v>
      </c>
      <c r="C15" s="32">
        <f>SUM(C4:C13)+(G15/10)</f>
        <v>28.275373532158188</v>
      </c>
      <c r="E15" s="32">
        <f>E14-E7-E9-E12-E5</f>
        <v>25.902928778617643</v>
      </c>
      <c r="F15" s="32">
        <f>F14-F7-F9-F12-F5</f>
        <v>181.3675045121584</v>
      </c>
      <c r="G15" s="32">
        <f>G14-G7-G9-G12-G5</f>
        <v>254.68233532158189</v>
      </c>
      <c r="H15" s="32">
        <f>H14-H7-H9-H12-H5</f>
        <v>360.87589844306802</v>
      </c>
      <c r="J15" s="253" t="s">
        <v>438</v>
      </c>
      <c r="K15" s="256">
        <f>K14*'Insumos 1'!$G$102</f>
        <v>0</v>
      </c>
      <c r="L15" s="256">
        <f>L14*'Insumos 1'!$G$102</f>
        <v>0</v>
      </c>
      <c r="M15" s="256">
        <f>M14*'Insumos 1'!$G$102</f>
        <v>0</v>
      </c>
      <c r="N15" s="256">
        <f>N14*'Insumos 1'!$G$102</f>
        <v>0</v>
      </c>
      <c r="O15" s="256">
        <f>O14*'Insumos 1'!$G$102</f>
        <v>0</v>
      </c>
      <c r="P15" s="256">
        <f>P14*'Insumos 1'!$G$102</f>
        <v>0</v>
      </c>
    </row>
    <row r="16" spans="1:22" x14ac:dyDescent="0.2">
      <c r="B16" s="51"/>
      <c r="C16" s="32"/>
      <c r="D16" s="32"/>
      <c r="E16" s="32"/>
      <c r="F16" s="32"/>
      <c r="G16" s="32"/>
      <c r="H16" s="32"/>
      <c r="J16" s="339" t="s">
        <v>570</v>
      </c>
      <c r="K16" s="339"/>
      <c r="L16" s="339"/>
      <c r="M16" s="339"/>
      <c r="N16" s="339"/>
      <c r="O16" s="339"/>
      <c r="P16" s="339"/>
    </row>
    <row r="17" spans="1:16" x14ac:dyDescent="0.2">
      <c r="B17" s="51"/>
      <c r="C17" s="32"/>
      <c r="D17" s="32"/>
      <c r="E17" s="32"/>
      <c r="F17" s="32"/>
      <c r="G17" s="32"/>
      <c r="H17" s="32"/>
      <c r="J17" s="33" t="s">
        <v>369</v>
      </c>
      <c r="K17" s="33" t="s">
        <v>370</v>
      </c>
      <c r="L17" s="33" t="s">
        <v>371</v>
      </c>
      <c r="M17" s="33" t="s">
        <v>372</v>
      </c>
      <c r="N17" s="33" t="s">
        <v>373</v>
      </c>
      <c r="O17" s="33" t="s">
        <v>448</v>
      </c>
      <c r="P17" s="2" t="s">
        <v>375</v>
      </c>
    </row>
    <row r="18" spans="1:16" x14ac:dyDescent="0.2">
      <c r="J18" s="33" t="s">
        <v>457</v>
      </c>
      <c r="K18" s="33"/>
      <c r="L18" s="87"/>
      <c r="M18" s="87"/>
      <c r="N18" s="87"/>
      <c r="O18" s="87"/>
      <c r="P18" s="2"/>
    </row>
    <row r="19" spans="1:16" x14ac:dyDescent="0.2">
      <c r="C19" s="32"/>
      <c r="D19" s="32"/>
      <c r="E19" s="32"/>
      <c r="F19" s="32"/>
      <c r="G19" s="32"/>
      <c r="H19" s="32"/>
      <c r="J19" s="33" t="s">
        <v>458</v>
      </c>
      <c r="K19" s="33">
        <v>0</v>
      </c>
      <c r="L19" s="87">
        <v>2.5000000000000001E-2</v>
      </c>
      <c r="M19" s="87">
        <v>0.04</v>
      </c>
      <c r="N19" s="87">
        <v>0.06</v>
      </c>
      <c r="O19" s="87">
        <v>0</v>
      </c>
      <c r="P19" s="2">
        <v>0</v>
      </c>
    </row>
    <row r="20" spans="1:16" x14ac:dyDescent="0.2">
      <c r="J20" s="33" t="s">
        <v>453</v>
      </c>
      <c r="K20" s="33"/>
      <c r="L20" s="87">
        <v>0.69</v>
      </c>
      <c r="M20" s="87">
        <v>0.95</v>
      </c>
      <c r="N20" s="87">
        <v>0.97</v>
      </c>
      <c r="O20" s="87"/>
      <c r="P20" s="2"/>
    </row>
    <row r="21" spans="1:16" x14ac:dyDescent="0.2">
      <c r="B21" s="51"/>
      <c r="C21" s="32"/>
      <c r="D21" s="32"/>
      <c r="E21" s="32"/>
      <c r="F21" s="32"/>
      <c r="G21" s="32"/>
      <c r="H21" s="32"/>
      <c r="J21" s="33" t="s">
        <v>438</v>
      </c>
      <c r="K21" s="87">
        <f>SUM(K18:K20)</f>
        <v>0</v>
      </c>
      <c r="L21" s="87">
        <f>SUM(L18:L20)</f>
        <v>0.71499999999999997</v>
      </c>
      <c r="M21" s="87">
        <f>SUM(M18:M20)</f>
        <v>0.99</v>
      </c>
      <c r="N21" s="87">
        <f t="shared" ref="N21:P21" si="2">SUM(N18:N20)</f>
        <v>1.03</v>
      </c>
      <c r="O21" s="87">
        <f t="shared" si="2"/>
        <v>0</v>
      </c>
      <c r="P21" s="87">
        <f t="shared" si="2"/>
        <v>0</v>
      </c>
    </row>
    <row r="22" spans="1:16" x14ac:dyDescent="0.2">
      <c r="J22" s="33" t="s">
        <v>438</v>
      </c>
      <c r="K22" s="88">
        <f>K21*'Insumos 1'!$G$5</f>
        <v>0</v>
      </c>
      <c r="L22" s="88">
        <f>L21*'Insumos 1'!$G$5</f>
        <v>60.800641788567276</v>
      </c>
      <c r="M22" s="88">
        <f>M21*'Insumos 1'!$G$5</f>
        <v>84.185504014939312</v>
      </c>
      <c r="N22" s="88">
        <f>N21*'Insumos 1'!$G$5</f>
        <v>87.586938520593421</v>
      </c>
      <c r="O22" s="88">
        <f>O21*'Insumos 1'!$G$5</f>
        <v>0</v>
      </c>
      <c r="P22" s="88">
        <f>P21*'Insumos 1'!$G$5</f>
        <v>0</v>
      </c>
    </row>
    <row r="23" spans="1:16" x14ac:dyDescent="0.2">
      <c r="E23" s="5"/>
      <c r="F23" s="5"/>
      <c r="G23" s="5"/>
      <c r="J23" s="339" t="s">
        <v>278</v>
      </c>
      <c r="K23" s="339"/>
      <c r="L23" s="339"/>
      <c r="M23" s="339"/>
      <c r="N23" s="339"/>
      <c r="O23" s="339"/>
      <c r="P23" s="339"/>
    </row>
    <row r="24" spans="1:16" x14ac:dyDescent="0.2">
      <c r="E24" s="26"/>
      <c r="F24" s="26"/>
      <c r="G24" s="26"/>
      <c r="J24" s="33" t="s">
        <v>369</v>
      </c>
      <c r="K24" s="33" t="s">
        <v>370</v>
      </c>
      <c r="L24" s="33" t="s">
        <v>371</v>
      </c>
      <c r="M24" s="33" t="s">
        <v>372</v>
      </c>
      <c r="N24" s="33" t="s">
        <v>373</v>
      </c>
      <c r="O24" s="33" t="s">
        <v>448</v>
      </c>
      <c r="P24" s="2" t="s">
        <v>375</v>
      </c>
    </row>
    <row r="25" spans="1:16" x14ac:dyDescent="0.2">
      <c r="J25" s="33" t="s">
        <v>457</v>
      </c>
      <c r="K25" s="33">
        <v>0</v>
      </c>
      <c r="L25" s="87">
        <v>0.09</v>
      </c>
      <c r="M25" s="87">
        <v>0.13</v>
      </c>
      <c r="N25" s="87">
        <v>0.19</v>
      </c>
      <c r="O25" s="87">
        <v>0</v>
      </c>
      <c r="P25" s="2">
        <v>0</v>
      </c>
    </row>
    <row r="26" spans="1:16" x14ac:dyDescent="0.2">
      <c r="F26" s="13"/>
      <c r="J26" s="33" t="s">
        <v>458</v>
      </c>
      <c r="K26" s="33">
        <v>0</v>
      </c>
      <c r="L26" s="87">
        <v>7.0000000000000007E-2</v>
      </c>
      <c r="M26" s="87">
        <v>0.1</v>
      </c>
      <c r="N26" s="87">
        <v>0.17</v>
      </c>
      <c r="O26" s="87">
        <v>0</v>
      </c>
      <c r="P26" s="2">
        <v>0</v>
      </c>
    </row>
    <row r="27" spans="1:16" x14ac:dyDescent="0.2">
      <c r="J27" s="33" t="s">
        <v>567</v>
      </c>
      <c r="K27" s="87">
        <f>SUM(K25:K26)</f>
        <v>0</v>
      </c>
      <c r="L27" s="87">
        <f>SUM(L25:L26)</f>
        <v>0.16</v>
      </c>
      <c r="M27" s="87">
        <f t="shared" ref="M27:O27" si="3">SUM(M25:M26)</f>
        <v>0.23</v>
      </c>
      <c r="N27" s="87">
        <f t="shared" si="3"/>
        <v>0.36</v>
      </c>
      <c r="O27" s="87">
        <f t="shared" si="3"/>
        <v>0</v>
      </c>
      <c r="P27" s="87">
        <v>0</v>
      </c>
    </row>
    <row r="28" spans="1:16" x14ac:dyDescent="0.2">
      <c r="J28" s="33" t="s">
        <v>438</v>
      </c>
      <c r="K28" s="91">
        <f>'Costo Materia Prima'!$I$122*K27</f>
        <v>0</v>
      </c>
      <c r="L28" s="91">
        <f>'Costo Materia Prima'!$I$122*L27</f>
        <v>47.381568287037034</v>
      </c>
      <c r="M28" s="91">
        <f>'Costo Materia Prima'!$I$122*M27</f>
        <v>68.111004412615742</v>
      </c>
      <c r="N28" s="91">
        <f>'Costo Materia Prima'!$I$122*N27</f>
        <v>106.60852864583332</v>
      </c>
      <c r="O28" s="91">
        <f>'Costo Materia Prima'!$I$122*O27</f>
        <v>0</v>
      </c>
      <c r="P28" s="91">
        <f>'Costo Materia Prima'!$I$122*P27</f>
        <v>0</v>
      </c>
    </row>
    <row r="29" spans="1:16" x14ac:dyDescent="0.2">
      <c r="C29" s="5"/>
      <c r="D29" s="5"/>
      <c r="E29" s="5"/>
      <c r="F29" s="5"/>
      <c r="G29" s="5"/>
      <c r="H29" s="5"/>
    </row>
    <row r="30" spans="1:16" x14ac:dyDescent="0.2">
      <c r="C30" s="5"/>
      <c r="D30" s="5"/>
      <c r="E30" s="5"/>
      <c r="F30" s="5"/>
      <c r="G30" s="5"/>
      <c r="H30" s="5"/>
    </row>
    <row r="31" spans="1:16" x14ac:dyDescent="0.2">
      <c r="A31" s="198"/>
      <c r="C31" s="5"/>
      <c r="D31" s="5"/>
      <c r="E31" s="5"/>
      <c r="F31" s="5"/>
      <c r="G31" s="5"/>
      <c r="H31" s="5"/>
    </row>
  </sheetData>
  <mergeCells count="5">
    <mergeCell ref="J2:P2"/>
    <mergeCell ref="J9:P9"/>
    <mergeCell ref="J23:P23"/>
    <mergeCell ref="C2:H2"/>
    <mergeCell ref="J16:P16"/>
  </mergeCells>
  <pageMargins left="0.7" right="0.7" top="0.75" bottom="0.75" header="0.3" footer="0.3"/>
  <pageSetup orientation="portrait"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8B16D3-80BF-4BEA-95D6-099479759AE3}">
  <sheetPr codeName="Hoja10"/>
  <dimension ref="A2:P19"/>
  <sheetViews>
    <sheetView zoomScale="169" workbookViewId="0">
      <selection activeCell="C12" sqref="C12"/>
    </sheetView>
  </sheetViews>
  <sheetFormatPr baseColWidth="10" defaultColWidth="11.5" defaultRowHeight="15" x14ac:dyDescent="0.2"/>
  <cols>
    <col min="1" max="1" width="19.33203125" bestFit="1" customWidth="1"/>
    <col min="2" max="2" width="11.6640625" customWidth="1"/>
    <col min="3" max="3" width="13.5" bestFit="1" customWidth="1"/>
    <col min="4" max="4" width="12.83203125" bestFit="1" customWidth="1"/>
    <col min="5" max="5" width="16" bestFit="1" customWidth="1"/>
    <col min="6" max="6" width="12.1640625" customWidth="1"/>
  </cols>
  <sheetData>
    <row r="2" spans="1:16" x14ac:dyDescent="0.2">
      <c r="C2" s="310" t="s">
        <v>444</v>
      </c>
      <c r="D2" s="310"/>
      <c r="E2" s="310"/>
      <c r="F2" s="310"/>
      <c r="G2" s="310"/>
      <c r="H2" s="310"/>
      <c r="J2" s="338" t="s">
        <v>346</v>
      </c>
      <c r="K2" s="353"/>
      <c r="L2" s="338"/>
      <c r="M2" s="338"/>
      <c r="N2" s="353"/>
      <c r="O2" s="353"/>
      <c r="P2" s="353"/>
    </row>
    <row r="3" spans="1:16" x14ac:dyDescent="0.2">
      <c r="A3" s="20" t="s">
        <v>445</v>
      </c>
      <c r="B3" s="20"/>
      <c r="C3" s="20" t="s">
        <v>413</v>
      </c>
      <c r="D3" s="20" t="s">
        <v>375</v>
      </c>
      <c r="E3" s="20" t="s">
        <v>370</v>
      </c>
      <c r="F3" s="20" t="s">
        <v>371</v>
      </c>
      <c r="G3" s="20" t="s">
        <v>372</v>
      </c>
      <c r="H3" s="20" t="s">
        <v>373</v>
      </c>
      <c r="J3" s="40" t="s">
        <v>369</v>
      </c>
      <c r="K3" s="33" t="s">
        <v>370</v>
      </c>
      <c r="L3" s="30" t="s">
        <v>371</v>
      </c>
      <c r="M3" s="42" t="s">
        <v>372</v>
      </c>
      <c r="N3" s="29" t="s">
        <v>373</v>
      </c>
      <c r="O3" s="29" t="s">
        <v>448</v>
      </c>
      <c r="P3" s="49" t="s">
        <v>375</v>
      </c>
    </row>
    <row r="4" spans="1:16" x14ac:dyDescent="0.2">
      <c r="A4" t="s">
        <v>558</v>
      </c>
      <c r="D4" s="32">
        <f>'Insumos 2'!Y110</f>
        <v>0</v>
      </c>
      <c r="E4" s="5">
        <f>'Insumos 2'!T58</f>
        <v>0</v>
      </c>
      <c r="F4" s="5">
        <f>'Insumos 2'!U58</f>
        <v>43.034062072336262</v>
      </c>
      <c r="G4" s="5">
        <f>'Insumos 2'!V58</f>
        <v>58.002431488801051</v>
      </c>
      <c r="H4" s="5">
        <f>'Insumos 2'!W58</f>
        <v>102.61968648018647</v>
      </c>
      <c r="J4" s="54" t="s">
        <v>450</v>
      </c>
      <c r="K4" s="33">
        <v>0</v>
      </c>
      <c r="L4" s="43">
        <v>0.5</v>
      </c>
      <c r="M4" s="44">
        <v>0.68</v>
      </c>
      <c r="N4" s="45">
        <v>0.88</v>
      </c>
      <c r="O4" s="60">
        <v>0</v>
      </c>
      <c r="P4" s="49">
        <v>0</v>
      </c>
    </row>
    <row r="5" spans="1:16" x14ac:dyDescent="0.2">
      <c r="D5" s="32"/>
      <c r="E5" s="5">
        <v>0</v>
      </c>
      <c r="F5" s="5">
        <f>[2]PAN!$L$22*2</f>
        <v>3.9209000212669833</v>
      </c>
      <c r="G5" s="5">
        <f>[2]PAN!$L$21*2</f>
        <v>6.4985287389517588</v>
      </c>
      <c r="H5" s="5">
        <f>[2]PAN!$L$20*2</f>
        <v>9.7477931084276381</v>
      </c>
      <c r="J5" s="29" t="s">
        <v>458</v>
      </c>
      <c r="K5" s="31">
        <v>0</v>
      </c>
      <c r="L5" s="60">
        <v>0.19</v>
      </c>
      <c r="M5" s="48">
        <v>0.3</v>
      </c>
      <c r="N5" s="60">
        <v>0.5</v>
      </c>
      <c r="O5" s="60">
        <v>0</v>
      </c>
      <c r="P5" s="49">
        <v>0</v>
      </c>
    </row>
    <row r="6" spans="1:16" x14ac:dyDescent="0.2">
      <c r="A6" t="s">
        <v>346</v>
      </c>
      <c r="E6" s="5">
        <f>K8</f>
        <v>0</v>
      </c>
      <c r="F6" s="5">
        <f>L8</f>
        <v>81.110005449038965</v>
      </c>
      <c r="G6" s="5">
        <f>M8</f>
        <v>115.19971788414232</v>
      </c>
      <c r="H6" s="5">
        <f>N8</f>
        <v>162.22001089807793</v>
      </c>
      <c r="J6" s="29" t="s">
        <v>453</v>
      </c>
      <c r="K6" s="29">
        <v>0</v>
      </c>
      <c r="L6" s="60">
        <v>0</v>
      </c>
      <c r="M6" s="48">
        <v>0</v>
      </c>
      <c r="N6" s="60">
        <v>0</v>
      </c>
      <c r="O6" s="60">
        <v>0</v>
      </c>
      <c r="P6" s="49">
        <v>0</v>
      </c>
    </row>
    <row r="7" spans="1:16" x14ac:dyDescent="0.2">
      <c r="B7" s="13">
        <f>[2]INSUMOS!$K$16</f>
        <v>1.3576286049497877</v>
      </c>
      <c r="F7" s="13">
        <f>$B$7*L7</f>
        <v>0.93676373741535346</v>
      </c>
      <c r="G7" s="13">
        <f>$B$7*M7</f>
        <v>1.3304760328507919</v>
      </c>
      <c r="H7" s="13">
        <f>$B$7*N7</f>
        <v>1.8735274748307069</v>
      </c>
      <c r="J7" s="29" t="s">
        <v>438</v>
      </c>
      <c r="K7" s="60">
        <f>SUM(K4:K6)</f>
        <v>0</v>
      </c>
      <c r="L7" s="60">
        <f>SUM(L4:L6)</f>
        <v>0.69</v>
      </c>
      <c r="M7" s="67">
        <f>SUM(M4:M6)</f>
        <v>0.98</v>
      </c>
      <c r="N7" s="60">
        <f>SUM(N4:N6)</f>
        <v>1.38</v>
      </c>
      <c r="O7" s="60">
        <f t="shared" ref="O7:P7" si="0">SUM(O4:O6)</f>
        <v>0</v>
      </c>
      <c r="P7" s="60">
        <f t="shared" si="0"/>
        <v>0</v>
      </c>
    </row>
    <row r="8" spans="1:16" x14ac:dyDescent="0.2">
      <c r="A8" t="s">
        <v>762</v>
      </c>
      <c r="E8" s="5">
        <f>K15</f>
        <v>0</v>
      </c>
      <c r="F8" s="5">
        <f>L15</f>
        <v>2.0452879170653899</v>
      </c>
      <c r="G8" s="5">
        <f>M15</f>
        <v>3.579253854864433</v>
      </c>
      <c r="H8" s="5">
        <f>N15</f>
        <v>5.1132197926634753</v>
      </c>
      <c r="J8" s="36" t="s">
        <v>438</v>
      </c>
      <c r="K8" s="69">
        <f>K7*'Insumos 1'!$G$23</f>
        <v>0</v>
      </c>
      <c r="L8" s="69">
        <f>L7*'Insumos 1'!$G$23</f>
        <v>81.110005449038965</v>
      </c>
      <c r="M8" s="69">
        <f>M7*'Insumos 1'!$G$23</f>
        <v>115.19971788414232</v>
      </c>
      <c r="N8" s="69">
        <f>N7*'Insumos 1'!$G$23</f>
        <v>162.22001089807793</v>
      </c>
      <c r="O8" s="69">
        <f>O7*'Insumos 1'!$G$23</f>
        <v>0</v>
      </c>
      <c r="P8" s="69">
        <f>P7*'Insumos 1'!$G$23</f>
        <v>0</v>
      </c>
    </row>
    <row r="9" spans="1:16" x14ac:dyDescent="0.2">
      <c r="J9" s="338" t="s">
        <v>657</v>
      </c>
      <c r="K9" s="338"/>
      <c r="L9" s="338"/>
      <c r="M9" s="338"/>
      <c r="N9" s="338"/>
      <c r="O9" s="338"/>
      <c r="P9" s="338"/>
    </row>
    <row r="10" spans="1:16" x14ac:dyDescent="0.2">
      <c r="A10" t="s">
        <v>761</v>
      </c>
      <c r="F10" s="13">
        <f>'[2]ARMADO- EMBETUNADO'!$G$13</f>
        <v>7.2812766072676416</v>
      </c>
      <c r="G10" s="13">
        <f>'[2]ARMADO- EMBETUNADO'!$G$13</f>
        <v>7.2812766072676416</v>
      </c>
      <c r="H10" s="13">
        <f>'[2]ARMADO- EMBETUNADO'!$G$13</f>
        <v>7.2812766072676416</v>
      </c>
      <c r="J10" s="29" t="s">
        <v>369</v>
      </c>
      <c r="K10" s="160" t="s">
        <v>370</v>
      </c>
      <c r="L10" s="30" t="s">
        <v>371</v>
      </c>
      <c r="M10" s="42" t="s">
        <v>372</v>
      </c>
      <c r="N10" s="29" t="s">
        <v>373</v>
      </c>
      <c r="O10" s="29" t="s">
        <v>448</v>
      </c>
      <c r="P10" s="49" t="s">
        <v>375</v>
      </c>
    </row>
    <row r="11" spans="1:16" ht="16" thickBot="1" x14ac:dyDescent="0.25">
      <c r="A11" s="98" t="s">
        <v>444</v>
      </c>
      <c r="B11" s="98"/>
      <c r="C11" s="99">
        <f>'Insumos 3'!S8</f>
        <v>2.80714</v>
      </c>
      <c r="D11" s="98"/>
      <c r="E11" s="100">
        <f>'Insumos 3'!O37</f>
        <v>0</v>
      </c>
      <c r="F11" s="99">
        <f>'Insumos 3'!K8</f>
        <v>13.628489999999999</v>
      </c>
      <c r="G11" s="99">
        <f>'Insumos 3'!G8</f>
        <v>15.598399999999998</v>
      </c>
      <c r="H11" s="99">
        <f>'Insumos 3'!C7</f>
        <v>28.574509999999997</v>
      </c>
      <c r="J11" s="29" t="s">
        <v>457</v>
      </c>
      <c r="K11" s="29">
        <v>0</v>
      </c>
      <c r="L11" s="60">
        <v>0</v>
      </c>
      <c r="M11" s="60">
        <v>0</v>
      </c>
      <c r="N11" s="60">
        <v>0</v>
      </c>
      <c r="O11" s="60">
        <v>0</v>
      </c>
      <c r="P11" s="49">
        <v>0</v>
      </c>
    </row>
    <row r="12" spans="1:16" ht="16" thickTop="1" x14ac:dyDescent="0.2">
      <c r="A12" t="s">
        <v>455</v>
      </c>
      <c r="C12" s="127">
        <f>SUM(C4:C11)+(G12/10)</f>
        <v>23.556148460687798</v>
      </c>
      <c r="D12" s="127">
        <f>SUM(D4:D11)</f>
        <v>0</v>
      </c>
      <c r="E12" s="127">
        <f>SUM(E4:E11)</f>
        <v>0</v>
      </c>
      <c r="F12" s="127">
        <f>SUM(F4:F11)</f>
        <v>151.95678580439059</v>
      </c>
      <c r="G12" s="127">
        <f>SUM(G4:G11)</f>
        <v>207.49008460687799</v>
      </c>
      <c r="H12" s="127">
        <f>SUM(H4:H11)</f>
        <v>317.43002436145383</v>
      </c>
      <c r="J12" s="29" t="s">
        <v>458</v>
      </c>
      <c r="K12" s="29">
        <v>0</v>
      </c>
      <c r="L12" s="60">
        <v>0</v>
      </c>
      <c r="M12" s="60">
        <v>0</v>
      </c>
      <c r="N12" s="60">
        <v>0</v>
      </c>
      <c r="O12" s="60">
        <v>0</v>
      </c>
      <c r="P12" s="49">
        <v>0</v>
      </c>
    </row>
    <row r="13" spans="1:16" ht="16" x14ac:dyDescent="0.2">
      <c r="A13" s="368" t="s">
        <v>791</v>
      </c>
      <c r="C13" s="5">
        <f>SUM(C4:C11)+(G13/10)</f>
        <v>22.045120322780779</v>
      </c>
      <c r="D13" s="32">
        <f t="shared" ref="D13:E13" si="1">D12-D7-D10</f>
        <v>0</v>
      </c>
      <c r="E13" s="32">
        <f t="shared" si="1"/>
        <v>0</v>
      </c>
      <c r="F13" s="32">
        <f>F12-F7-F10-F5</f>
        <v>139.8178454384406</v>
      </c>
      <c r="G13" s="32">
        <f>G12-G7-G10-G5</f>
        <v>192.3798032278078</v>
      </c>
      <c r="H13" s="32">
        <f>H12-H7-H10-H5</f>
        <v>298.52742717092787</v>
      </c>
      <c r="J13" s="29" t="s">
        <v>453</v>
      </c>
      <c r="K13" s="160">
        <v>0</v>
      </c>
      <c r="L13" s="71">
        <v>0.02</v>
      </c>
      <c r="M13" s="72">
        <v>3.5000000000000003E-2</v>
      </c>
      <c r="N13" s="73">
        <v>0.05</v>
      </c>
      <c r="O13" s="60">
        <v>0</v>
      </c>
      <c r="P13" s="49">
        <v>0</v>
      </c>
    </row>
    <row r="14" spans="1:16" x14ac:dyDescent="0.2">
      <c r="A14" t="s">
        <v>690</v>
      </c>
      <c r="B14" s="26">
        <v>0.55000000000000004</v>
      </c>
      <c r="C14" s="13">
        <f t="shared" ref="C14:H14" si="2">(C12/(1-$B$14))</f>
        <v>52.346996579306222</v>
      </c>
      <c r="D14" s="13">
        <f t="shared" si="2"/>
        <v>0</v>
      </c>
      <c r="E14" s="13">
        <f t="shared" si="2"/>
        <v>0</v>
      </c>
      <c r="F14" s="13">
        <f t="shared" si="2"/>
        <v>337.6817462319791</v>
      </c>
      <c r="G14" s="13">
        <f t="shared" si="2"/>
        <v>461.08907690417334</v>
      </c>
      <c r="H14" s="13">
        <f t="shared" si="2"/>
        <v>705.40005413656411</v>
      </c>
      <c r="J14" s="70" t="s">
        <v>438</v>
      </c>
      <c r="K14" s="155">
        <f>SUM(K11:K13)</f>
        <v>0</v>
      </c>
      <c r="L14" s="155">
        <f>SUM(L11:L13)</f>
        <v>0.02</v>
      </c>
      <c r="M14" s="155">
        <f t="shared" ref="M14:P14" si="3">SUM(M11:M13)</f>
        <v>3.5000000000000003E-2</v>
      </c>
      <c r="N14" s="155">
        <f t="shared" si="3"/>
        <v>0.05</v>
      </c>
      <c r="O14" s="155">
        <f t="shared" si="3"/>
        <v>0</v>
      </c>
      <c r="P14" s="155">
        <f t="shared" si="3"/>
        <v>0</v>
      </c>
    </row>
    <row r="15" spans="1:16" x14ac:dyDescent="0.2">
      <c r="J15" s="33" t="s">
        <v>438</v>
      </c>
      <c r="K15" s="88">
        <f>K14*'Insumos 2'!$G$209</f>
        <v>0</v>
      </c>
      <c r="L15" s="88">
        <f>L14*'Insumos 2'!$G$209</f>
        <v>2.0452879170653899</v>
      </c>
      <c r="M15" s="88">
        <f>M14*'Insumos 2'!$G$209</f>
        <v>3.579253854864433</v>
      </c>
      <c r="N15" s="88">
        <f>N14*'Insumos 2'!$G$209</f>
        <v>5.1132197926634753</v>
      </c>
      <c r="O15" s="88">
        <f>O14*'Insumos 2'!$G$209</f>
        <v>0</v>
      </c>
      <c r="P15" s="88">
        <f>P14*'Insumos 2'!$G$209</f>
        <v>0</v>
      </c>
    </row>
    <row r="17" spans="2:8" x14ac:dyDescent="0.2">
      <c r="B17" s="51"/>
      <c r="C17" s="127">
        <v>28.865372301251206</v>
      </c>
      <c r="D17" s="127">
        <v>0</v>
      </c>
      <c r="E17" s="127">
        <v>0</v>
      </c>
      <c r="F17" s="127">
        <v>145.10156637614699</v>
      </c>
      <c r="G17" s="127">
        <v>196.88398967917874</v>
      </c>
      <c r="H17" s="127">
        <v>280.16445782890992</v>
      </c>
    </row>
    <row r="18" spans="2:8" x14ac:dyDescent="0.2">
      <c r="B18" s="51"/>
    </row>
    <row r="19" spans="2:8" x14ac:dyDescent="0.2">
      <c r="C19" s="32"/>
      <c r="D19" s="26">
        <v>0.6</v>
      </c>
      <c r="E19" s="32"/>
      <c r="F19" s="32">
        <f>F12/(1-$D$19)</f>
        <v>379.89196451097644</v>
      </c>
      <c r="G19" s="32">
        <f>G12/(1-$D$19)</f>
        <v>518.72521151719491</v>
      </c>
      <c r="H19" s="32">
        <f>H12/(1-$D$19)</f>
        <v>793.57506090363449</v>
      </c>
    </row>
  </sheetData>
  <mergeCells count="3">
    <mergeCell ref="J9:P9"/>
    <mergeCell ref="C2:H2"/>
    <mergeCell ref="J2:P2"/>
  </mergeCells>
  <pageMargins left="0.7" right="0.7" top="0.75" bottom="0.75" header="0.3" footer="0.3"/>
  <pageSetup orientation="portrait" horizontalDpi="0" verticalDpi="0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F3655F-75DD-4211-85B0-735FDA61D2E7}">
  <sheetPr codeName="Hoja12"/>
  <dimension ref="A2:M23"/>
  <sheetViews>
    <sheetView workbookViewId="0">
      <selection activeCell="D24" sqref="D24"/>
    </sheetView>
  </sheetViews>
  <sheetFormatPr baseColWidth="10" defaultColWidth="9.1640625" defaultRowHeight="15" x14ac:dyDescent="0.2"/>
  <cols>
    <col min="1" max="1" width="19.33203125" bestFit="1" customWidth="1"/>
    <col min="5" max="5" width="10.33203125" bestFit="1" customWidth="1"/>
    <col min="8" max="8" width="16.5" bestFit="1" customWidth="1"/>
    <col min="11" max="11" width="10.33203125" bestFit="1" customWidth="1"/>
    <col min="12" max="12" width="11.5" bestFit="1" customWidth="1"/>
  </cols>
  <sheetData>
    <row r="2" spans="1:13" x14ac:dyDescent="0.2">
      <c r="B2" s="20"/>
      <c r="C2" s="310" t="s">
        <v>444</v>
      </c>
      <c r="D2" s="310"/>
      <c r="E2" s="310"/>
      <c r="F2" s="310"/>
      <c r="G2" s="20"/>
      <c r="H2" s="300" t="s">
        <v>345</v>
      </c>
      <c r="I2" s="300"/>
      <c r="J2" s="300"/>
      <c r="K2" s="302"/>
      <c r="L2" s="302"/>
      <c r="M2" s="302"/>
    </row>
    <row r="3" spans="1:13" x14ac:dyDescent="0.2">
      <c r="A3" s="20" t="s">
        <v>445</v>
      </c>
      <c r="C3" s="20" t="s">
        <v>413</v>
      </c>
      <c r="D3" s="20" t="s">
        <v>372</v>
      </c>
      <c r="E3" s="20" t="s">
        <v>373</v>
      </c>
      <c r="F3" s="20" t="s">
        <v>375</v>
      </c>
      <c r="H3" s="40" t="s">
        <v>369</v>
      </c>
      <c r="I3" s="30" t="s">
        <v>371</v>
      </c>
      <c r="J3" s="42" t="s">
        <v>372</v>
      </c>
      <c r="K3" s="29" t="s">
        <v>373</v>
      </c>
      <c r="L3" s="29" t="s">
        <v>448</v>
      </c>
      <c r="M3" s="49" t="s">
        <v>375</v>
      </c>
    </row>
    <row r="4" spans="1:13" x14ac:dyDescent="0.2">
      <c r="A4" t="s">
        <v>389</v>
      </c>
      <c r="D4" s="32">
        <f>'Insumos 2'!V104</f>
        <v>27.141533578580091</v>
      </c>
      <c r="E4" s="32">
        <f>'Insumos 2'!W104</f>
        <v>51.815655013652901</v>
      </c>
      <c r="F4" s="32">
        <f>'Insumos 2'!Y104</f>
        <v>2.960894572208737</v>
      </c>
      <c r="G4" s="32"/>
      <c r="H4" s="54" t="s">
        <v>450</v>
      </c>
      <c r="I4" s="43">
        <v>0</v>
      </c>
      <c r="J4" s="44">
        <v>0.5</v>
      </c>
      <c r="K4" s="45">
        <v>1.5</v>
      </c>
      <c r="L4" s="60">
        <v>0</v>
      </c>
      <c r="M4" s="49">
        <v>0.06</v>
      </c>
    </row>
    <row r="5" spans="1:13" x14ac:dyDescent="0.2">
      <c r="D5" s="32">
        <f>[2]PAN!$L$24</f>
        <v>5.8831670180555546</v>
      </c>
      <c r="E5" s="32">
        <v>0</v>
      </c>
      <c r="F5" s="32">
        <f>[2]PAN!$L$25</f>
        <v>0.78442226907407386</v>
      </c>
      <c r="G5" s="32"/>
      <c r="H5" s="29" t="s">
        <v>452</v>
      </c>
      <c r="I5" s="60">
        <v>0</v>
      </c>
      <c r="J5" s="48">
        <v>0</v>
      </c>
      <c r="K5" s="60">
        <v>0</v>
      </c>
      <c r="L5" s="60">
        <v>0</v>
      </c>
      <c r="M5" s="49">
        <v>0</v>
      </c>
    </row>
    <row r="6" spans="1:13" x14ac:dyDescent="0.2">
      <c r="A6" t="s">
        <v>345</v>
      </c>
      <c r="D6" s="32">
        <f>J8</f>
        <v>46.323268378260167</v>
      </c>
      <c r="E6" s="32">
        <f>K8</f>
        <v>138.9698051347805</v>
      </c>
      <c r="F6" s="32">
        <f>M8</f>
        <v>5.55879220539122</v>
      </c>
      <c r="G6" s="32"/>
      <c r="H6" s="29" t="s">
        <v>453</v>
      </c>
      <c r="I6" s="60"/>
      <c r="J6" s="48"/>
      <c r="K6" s="60"/>
      <c r="L6" s="60"/>
      <c r="M6" s="49"/>
    </row>
    <row r="7" spans="1:13" x14ac:dyDescent="0.2">
      <c r="B7" s="13">
        <f>[2]INSUMOS!$K$14</f>
        <v>1.092475834023773</v>
      </c>
      <c r="D7" s="13">
        <f>$B$7*J7</f>
        <v>0.54623791701188651</v>
      </c>
      <c r="E7" s="13">
        <f>$B$7*K7</f>
        <v>1.6387137510356595</v>
      </c>
      <c r="F7" s="13">
        <f>$B$7*M7</f>
        <v>6.5548550041426373E-2</v>
      </c>
      <c r="G7" s="32"/>
      <c r="H7" s="29" t="s">
        <v>438</v>
      </c>
      <c r="I7" s="60">
        <f>SUM(I4:I6)</f>
        <v>0</v>
      </c>
      <c r="J7" s="67">
        <f t="shared" ref="J7:M7" si="0">SUM(J4:J6)</f>
        <v>0.5</v>
      </c>
      <c r="K7" s="60">
        <f t="shared" si="0"/>
        <v>1.5</v>
      </c>
      <c r="L7" s="60">
        <f t="shared" si="0"/>
        <v>0</v>
      </c>
      <c r="M7" s="60">
        <f t="shared" si="0"/>
        <v>0.06</v>
      </c>
    </row>
    <row r="8" spans="1:13" x14ac:dyDescent="0.2">
      <c r="A8" t="s">
        <v>560</v>
      </c>
      <c r="D8" s="32">
        <f>J19</f>
        <v>59.272050218290438</v>
      </c>
      <c r="E8" s="32">
        <f>K19</f>
        <v>177.81615065487131</v>
      </c>
      <c r="F8" s="32">
        <f>M19</f>
        <v>9.8786750363817397</v>
      </c>
      <c r="G8" s="32"/>
      <c r="H8" s="36" t="s">
        <v>438</v>
      </c>
      <c r="I8" s="61">
        <f>I7*'Insumos 1'!$G$13</f>
        <v>0</v>
      </c>
      <c r="J8" s="68">
        <f>J7*'Insumos 1'!$G$13</f>
        <v>46.323268378260167</v>
      </c>
      <c r="K8" s="69">
        <f>K7*'Insumos 1'!$G$13</f>
        <v>138.9698051347805</v>
      </c>
      <c r="L8" s="69">
        <f>L7*'Insumos 1'!$G$13</f>
        <v>0</v>
      </c>
      <c r="M8" s="69">
        <f>M7*'Insumos 1'!$G$13</f>
        <v>5.55879220539122</v>
      </c>
    </row>
    <row r="9" spans="1:13" x14ac:dyDescent="0.2">
      <c r="B9" s="13">
        <f>[2]INSUMOS!$K$11</f>
        <v>0.39050179899691345</v>
      </c>
      <c r="D9" s="13">
        <f>$B$9*J18</f>
        <v>0.58575269849537015</v>
      </c>
      <c r="E9" s="13">
        <f>$B$9*K18</f>
        <v>1.7572580954861106</v>
      </c>
      <c r="F9" s="13">
        <f>$B$9*M18</f>
        <v>9.7625449749228363E-2</v>
      </c>
      <c r="G9" s="32"/>
      <c r="H9" s="300" t="s">
        <v>559</v>
      </c>
      <c r="I9" s="300"/>
      <c r="J9" s="300"/>
      <c r="K9" s="300"/>
      <c r="L9" s="300"/>
      <c r="M9" s="300"/>
    </row>
    <row r="10" spans="1:13" x14ac:dyDescent="0.2">
      <c r="A10" t="s">
        <v>761</v>
      </c>
      <c r="D10" s="13">
        <f>'[2]ARMADO- EMBETUNADO'!$G$7</f>
        <v>4.5941388117283939</v>
      </c>
      <c r="E10" s="13">
        <f>'[2]ARMADO- EMBETUNADO'!$G$7</f>
        <v>4.5941388117283939</v>
      </c>
      <c r="F10" s="13">
        <f>'[2]ARMADO- EMBETUNADO'!$G$8</f>
        <v>2.0214210771604937</v>
      </c>
      <c r="G10" s="32"/>
      <c r="H10" s="29" t="s">
        <v>369</v>
      </c>
      <c r="I10" s="29" t="s">
        <v>371</v>
      </c>
      <c r="J10" s="29" t="s">
        <v>372</v>
      </c>
      <c r="K10" s="29" t="s">
        <v>373</v>
      </c>
      <c r="L10" s="29" t="s">
        <v>448</v>
      </c>
      <c r="M10" s="49" t="s">
        <v>375</v>
      </c>
    </row>
    <row r="11" spans="1:13" x14ac:dyDescent="0.2">
      <c r="A11" t="s">
        <v>559</v>
      </c>
      <c r="D11" s="32">
        <f>J15</f>
        <v>19.900000000000002</v>
      </c>
      <c r="E11" s="32">
        <f>K15</f>
        <v>0</v>
      </c>
      <c r="F11" s="32">
        <f>M15</f>
        <v>0</v>
      </c>
      <c r="H11" s="29" t="s">
        <v>457</v>
      </c>
      <c r="I11" s="60">
        <v>0</v>
      </c>
      <c r="J11" s="60">
        <v>0.05</v>
      </c>
      <c r="K11" s="60">
        <v>0</v>
      </c>
      <c r="L11" s="60">
        <v>0</v>
      </c>
      <c r="M11" s="49">
        <v>0</v>
      </c>
    </row>
    <row r="12" spans="1:13" ht="16" thickBot="1" x14ac:dyDescent="0.25">
      <c r="A12" s="98" t="s">
        <v>444</v>
      </c>
      <c r="B12" s="98"/>
      <c r="C12" s="99">
        <f>'Insumos 3'!S8</f>
        <v>2.80714</v>
      </c>
      <c r="D12" s="98">
        <f>'Insumos 3'!AB6</f>
        <v>12.47</v>
      </c>
      <c r="E12" s="100">
        <f>'Insumos 3'!AB6*2</f>
        <v>24.94</v>
      </c>
      <c r="F12" s="99">
        <f>'Insumos 3'!AF9</f>
        <v>9.6525333333333343</v>
      </c>
      <c r="G12" s="32"/>
      <c r="H12" s="29" t="s">
        <v>458</v>
      </c>
      <c r="I12" s="60">
        <v>0</v>
      </c>
      <c r="J12" s="60">
        <v>0</v>
      </c>
      <c r="K12" s="60">
        <v>0</v>
      </c>
      <c r="L12" s="60">
        <v>0</v>
      </c>
      <c r="M12" s="49">
        <v>0</v>
      </c>
    </row>
    <row r="13" spans="1:13" ht="16" thickTop="1" x14ac:dyDescent="0.2">
      <c r="A13" t="s">
        <v>455</v>
      </c>
      <c r="C13" s="127">
        <f>SUM(C4:C12)+(D13/6)</f>
        <v>32.259831436736988</v>
      </c>
      <c r="D13" s="127">
        <f>SUM(D4:D12)</f>
        <v>176.71614862042193</v>
      </c>
      <c r="E13" s="127">
        <f>SUM(E4:E12)</f>
        <v>401.53172146155487</v>
      </c>
      <c r="F13" s="127">
        <f>SUM(F4:F12)</f>
        <v>31.019912493340254</v>
      </c>
      <c r="G13" s="32"/>
      <c r="H13" s="29" t="s">
        <v>453</v>
      </c>
      <c r="I13" s="71">
        <v>0</v>
      </c>
      <c r="J13" s="72">
        <v>0</v>
      </c>
      <c r="K13" s="73">
        <v>0</v>
      </c>
      <c r="L13" s="60">
        <v>0</v>
      </c>
      <c r="M13" s="49">
        <v>0</v>
      </c>
    </row>
    <row r="14" spans="1:13" x14ac:dyDescent="0.2">
      <c r="A14" s="20" t="s">
        <v>791</v>
      </c>
      <c r="C14" s="32">
        <f>SUM(C4:C12)+(D14/6)</f>
        <v>30.32494869585512</v>
      </c>
      <c r="D14" s="32">
        <f>D13-D10-D9-D7-D5</f>
        <v>165.10685217513071</v>
      </c>
      <c r="E14" s="32">
        <f>E13-E10-E9-E7-E5</f>
        <v>393.54161080330471</v>
      </c>
      <c r="F14" s="32">
        <f>F13-F10-F9-F7-F5</f>
        <v>28.050895147315032</v>
      </c>
      <c r="H14" s="29" t="s">
        <v>438</v>
      </c>
      <c r="I14" s="60">
        <f>SUM(I11:I13)</f>
        <v>0</v>
      </c>
      <c r="J14" s="60">
        <v>0.1</v>
      </c>
      <c r="K14" s="60">
        <f t="shared" ref="K14:M14" si="1">SUM(K11:K13)</f>
        <v>0</v>
      </c>
      <c r="L14" s="60">
        <f t="shared" si="1"/>
        <v>0</v>
      </c>
      <c r="M14" s="60">
        <f t="shared" si="1"/>
        <v>0</v>
      </c>
    </row>
    <row r="15" spans="1:13" x14ac:dyDescent="0.2">
      <c r="C15" s="32"/>
      <c r="D15" s="32"/>
      <c r="E15" s="32"/>
      <c r="F15" s="32"/>
      <c r="G15" s="32"/>
      <c r="H15" s="70" t="s">
        <v>438</v>
      </c>
      <c r="I15" s="69">
        <f>I14*'Insumos 1'!$G$64</f>
        <v>0</v>
      </c>
      <c r="J15" s="69">
        <f>J14*'Costo Materia Prima'!I32</f>
        <v>19.900000000000002</v>
      </c>
      <c r="K15" s="69">
        <f>K14*'Insumos 1'!$G$64</f>
        <v>0</v>
      </c>
      <c r="L15" s="69">
        <f>L14*'Insumos 1'!$G$64</f>
        <v>0</v>
      </c>
      <c r="M15" s="69">
        <f>M14*'Insumos 1'!$G$64</f>
        <v>0</v>
      </c>
    </row>
    <row r="16" spans="1:13" x14ac:dyDescent="0.2">
      <c r="F16" s="32"/>
      <c r="H16" s="303" t="s">
        <v>562</v>
      </c>
      <c r="I16" s="304"/>
      <c r="J16" s="304"/>
      <c r="K16" s="304"/>
      <c r="L16" s="304"/>
      <c r="M16" s="304"/>
    </row>
    <row r="17" spans="1:13" x14ac:dyDescent="0.2">
      <c r="B17" s="51"/>
      <c r="C17" s="32"/>
      <c r="D17" s="32"/>
      <c r="E17" s="32"/>
      <c r="F17" s="32"/>
      <c r="G17" s="32"/>
      <c r="H17" s="40" t="s">
        <v>369</v>
      </c>
      <c r="I17" s="257" t="s">
        <v>371</v>
      </c>
      <c r="J17" s="41" t="s">
        <v>372</v>
      </c>
      <c r="K17" s="42" t="s">
        <v>373</v>
      </c>
      <c r="L17" s="30" t="s">
        <v>448</v>
      </c>
      <c r="M17" s="49" t="s">
        <v>375</v>
      </c>
    </row>
    <row r="18" spans="1:13" x14ac:dyDescent="0.2">
      <c r="F18" s="32"/>
      <c r="H18" s="54"/>
      <c r="I18" s="71">
        <v>0</v>
      </c>
      <c r="J18" s="72">
        <v>1.5</v>
      </c>
      <c r="K18" s="73">
        <v>4.5</v>
      </c>
      <c r="L18" s="43">
        <v>0</v>
      </c>
      <c r="M18" s="49">
        <v>0.25</v>
      </c>
    </row>
    <row r="19" spans="1:13" x14ac:dyDescent="0.2">
      <c r="A19" t="s">
        <v>733</v>
      </c>
      <c r="B19" s="32">
        <f>D13</f>
        <v>176.71614862042193</v>
      </c>
      <c r="F19" s="32"/>
      <c r="H19" s="33" t="s">
        <v>438</v>
      </c>
      <c r="I19" s="57">
        <f>I18*'Insumos 1'!$G$32</f>
        <v>0</v>
      </c>
      <c r="J19" s="57">
        <f>J18*'Insumos 1'!$G$32</f>
        <v>59.272050218290438</v>
      </c>
      <c r="K19" s="57">
        <f>K18*'Insumos 1'!$G$32</f>
        <v>177.81615065487131</v>
      </c>
      <c r="L19" s="57">
        <f>L18*'Insumos 1'!$G$32</f>
        <v>0</v>
      </c>
      <c r="M19" s="57">
        <f>M18*'Insumos 1'!$G$32</f>
        <v>9.8786750363817397</v>
      </c>
    </row>
    <row r="20" spans="1:13" x14ac:dyDescent="0.2">
      <c r="A20" t="s">
        <v>734</v>
      </c>
      <c r="B20" s="32">
        <f>J8</f>
        <v>46.323268378260167</v>
      </c>
    </row>
    <row r="21" spans="1:13" x14ac:dyDescent="0.2">
      <c r="A21" t="s">
        <v>735</v>
      </c>
      <c r="B21" s="5">
        <v>5.85</v>
      </c>
    </row>
    <row r="23" spans="1:13" x14ac:dyDescent="0.2">
      <c r="A23" t="s">
        <v>438</v>
      </c>
      <c r="B23" s="32">
        <f>SUM(B19:B22)</f>
        <v>228.88941699868209</v>
      </c>
    </row>
  </sheetData>
  <mergeCells count="1">
    <mergeCell ref="C2:F2"/>
  </mergeCells>
  <pageMargins left="0.7" right="0.7" top="0.75" bottom="0.75" header="0.3" footer="0.3"/>
  <pageSetup orientation="portrait" horizontalDpi="0" verticalDpi="0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37A725-7856-524A-A996-4662B73616C7}">
  <sheetPr codeName="Hoja19"/>
  <dimension ref="A2:M21"/>
  <sheetViews>
    <sheetView workbookViewId="0">
      <selection activeCell="H13" sqref="H13:M13"/>
    </sheetView>
  </sheetViews>
  <sheetFormatPr baseColWidth="10" defaultColWidth="9.1640625" defaultRowHeight="15" x14ac:dyDescent="0.2"/>
  <cols>
    <col min="1" max="1" width="18.6640625" customWidth="1"/>
    <col min="4" max="4" width="11.1640625" bestFit="1" customWidth="1"/>
    <col min="5" max="5" width="10.33203125" bestFit="1" customWidth="1"/>
    <col min="8" max="8" width="16.5" bestFit="1" customWidth="1"/>
    <col min="10" max="10" width="9.6640625" bestFit="1" customWidth="1"/>
    <col min="11" max="11" width="12.33203125" customWidth="1"/>
    <col min="12" max="12" width="11.5" bestFit="1" customWidth="1"/>
  </cols>
  <sheetData>
    <row r="2" spans="1:13" x14ac:dyDescent="0.2">
      <c r="B2" s="20"/>
      <c r="C2" s="310" t="s">
        <v>444</v>
      </c>
      <c r="D2" s="310"/>
      <c r="E2" s="310"/>
      <c r="F2" s="310"/>
      <c r="G2" s="20"/>
      <c r="H2" s="339" t="s">
        <v>345</v>
      </c>
      <c r="I2" s="339"/>
      <c r="J2" s="339"/>
      <c r="K2" s="339"/>
      <c r="L2" s="339"/>
      <c r="M2" s="339"/>
    </row>
    <row r="3" spans="1:13" x14ac:dyDescent="0.2">
      <c r="A3" s="20" t="s">
        <v>445</v>
      </c>
      <c r="C3" s="20" t="s">
        <v>413</v>
      </c>
      <c r="D3" s="20" t="s">
        <v>372</v>
      </c>
      <c r="E3" s="20" t="s">
        <v>373</v>
      </c>
      <c r="F3" s="20" t="s">
        <v>375</v>
      </c>
      <c r="H3" s="33" t="s">
        <v>369</v>
      </c>
      <c r="I3" s="33" t="s">
        <v>370</v>
      </c>
      <c r="J3" s="33" t="s">
        <v>371</v>
      </c>
      <c r="K3" s="33" t="s">
        <v>373</v>
      </c>
      <c r="L3" s="33" t="s">
        <v>448</v>
      </c>
      <c r="M3" s="2" t="s">
        <v>375</v>
      </c>
    </row>
    <row r="4" spans="1:13" x14ac:dyDescent="0.2">
      <c r="A4" t="s">
        <v>389</v>
      </c>
      <c r="D4" s="32">
        <f>'Insumos 2'!V104</f>
        <v>27.141533578580091</v>
      </c>
      <c r="E4" s="32">
        <f>'Insumos 2'!W104</f>
        <v>51.815655013652901</v>
      </c>
      <c r="F4" s="32">
        <f>'Insumos 2'!Y104</f>
        <v>2.960894572208737</v>
      </c>
      <c r="G4" s="32"/>
      <c r="H4" s="33" t="s">
        <v>450</v>
      </c>
      <c r="I4" s="87">
        <v>0</v>
      </c>
      <c r="J4" s="87">
        <v>0.5</v>
      </c>
      <c r="K4" s="87">
        <v>1.5</v>
      </c>
      <c r="L4" s="87">
        <v>0</v>
      </c>
      <c r="M4" s="2">
        <v>0.06</v>
      </c>
    </row>
    <row r="5" spans="1:13" x14ac:dyDescent="0.2">
      <c r="D5" s="32">
        <f>[2]PAN!$L$24</f>
        <v>5.8831670180555546</v>
      </c>
      <c r="E5" s="32">
        <v>0</v>
      </c>
      <c r="F5" s="32">
        <f>[2]PAN!$L$25</f>
        <v>0.78442226907407386</v>
      </c>
      <c r="G5" s="32"/>
      <c r="H5" s="33" t="s">
        <v>452</v>
      </c>
      <c r="I5" s="87">
        <v>0</v>
      </c>
      <c r="J5" s="87">
        <v>0</v>
      </c>
      <c r="K5" s="87">
        <v>0</v>
      </c>
      <c r="L5" s="87">
        <v>0</v>
      </c>
      <c r="M5" s="2">
        <v>0</v>
      </c>
    </row>
    <row r="6" spans="1:13" x14ac:dyDescent="0.2">
      <c r="A6" t="s">
        <v>345</v>
      </c>
      <c r="D6" s="32">
        <f>J8</f>
        <v>46.323268378260167</v>
      </c>
      <c r="E6" s="32">
        <f>K8</f>
        <v>138.9698051347805</v>
      </c>
      <c r="F6" s="32">
        <f>M8</f>
        <v>5.55879220539122</v>
      </c>
      <c r="G6" s="32"/>
      <c r="H6" s="33" t="s">
        <v>453</v>
      </c>
      <c r="I6" s="87"/>
      <c r="J6" s="87"/>
      <c r="K6" s="87"/>
      <c r="L6" s="87"/>
      <c r="M6" s="2"/>
    </row>
    <row r="7" spans="1:13" x14ac:dyDescent="0.2">
      <c r="B7" s="13">
        <f>[2]INSUMOS!$K$14</f>
        <v>1.092475834023773</v>
      </c>
      <c r="D7" s="13">
        <f>$B$7*J7</f>
        <v>0.54623791701188651</v>
      </c>
      <c r="E7" s="13">
        <f>$B$7*K7</f>
        <v>1.6387137510356595</v>
      </c>
      <c r="F7" s="13">
        <f>$B$7*M7</f>
        <v>6.5548550041426373E-2</v>
      </c>
      <c r="G7" s="32"/>
      <c r="H7" s="33" t="s">
        <v>438</v>
      </c>
      <c r="I7" s="87">
        <f>SUM(I4:I6)</f>
        <v>0</v>
      </c>
      <c r="J7" s="87">
        <f t="shared" ref="J7:M7" si="0">SUM(J4:J6)</f>
        <v>0.5</v>
      </c>
      <c r="K7" s="87">
        <f t="shared" si="0"/>
        <v>1.5</v>
      </c>
      <c r="L7" s="87">
        <f t="shared" si="0"/>
        <v>0</v>
      </c>
      <c r="M7" s="87">
        <f t="shared" si="0"/>
        <v>0.06</v>
      </c>
    </row>
    <row r="8" spans="1:13" x14ac:dyDescent="0.2">
      <c r="A8" t="s">
        <v>560</v>
      </c>
      <c r="D8" s="32">
        <f>J12</f>
        <v>95.763598931525735</v>
      </c>
      <c r="E8" s="32">
        <f>K12</f>
        <v>287.2907967945772</v>
      </c>
      <c r="F8" s="32">
        <f>M12</f>
        <v>15.960599821920956</v>
      </c>
      <c r="G8" s="32"/>
      <c r="H8" s="33" t="s">
        <v>438</v>
      </c>
      <c r="I8" s="88">
        <f>I7*'Insumos 1'!$G$13</f>
        <v>0</v>
      </c>
      <c r="J8" s="88">
        <f>J7*'Insumos 1'!$G$13</f>
        <v>46.323268378260167</v>
      </c>
      <c r="K8" s="88">
        <f>K7*'Insumos 1'!$G$13</f>
        <v>138.9698051347805</v>
      </c>
      <c r="L8" s="88">
        <f>L7*'Insumos 1'!$G$13</f>
        <v>0</v>
      </c>
      <c r="M8" s="88">
        <f>M7*'Insumos 1'!$G$13</f>
        <v>5.55879220539122</v>
      </c>
    </row>
    <row r="9" spans="1:13" x14ac:dyDescent="0.2">
      <c r="B9" s="175"/>
      <c r="D9" s="32"/>
      <c r="E9" s="32"/>
      <c r="F9" s="32"/>
      <c r="G9" s="32"/>
      <c r="H9" s="339" t="s">
        <v>561</v>
      </c>
      <c r="I9" s="339"/>
      <c r="J9" s="339"/>
      <c r="K9" s="339"/>
      <c r="L9" s="339"/>
      <c r="M9" s="339"/>
    </row>
    <row r="10" spans="1:13" x14ac:dyDescent="0.2">
      <c r="A10" t="s">
        <v>90</v>
      </c>
      <c r="D10" s="157"/>
      <c r="E10" s="157">
        <f>L16</f>
        <v>0</v>
      </c>
      <c r="F10" s="157">
        <f>M16</f>
        <v>3.1571625000000001</v>
      </c>
      <c r="G10" s="32"/>
      <c r="H10" s="33" t="s">
        <v>369</v>
      </c>
      <c r="I10" s="33" t="s">
        <v>370</v>
      </c>
      <c r="J10" s="33" t="s">
        <v>371</v>
      </c>
      <c r="K10" s="33" t="s">
        <v>373</v>
      </c>
      <c r="L10" s="33" t="s">
        <v>448</v>
      </c>
      <c r="M10" s="2" t="s">
        <v>375</v>
      </c>
    </row>
    <row r="11" spans="1:13" x14ac:dyDescent="0.2">
      <c r="A11" t="s">
        <v>87</v>
      </c>
      <c r="D11" s="157"/>
      <c r="E11" s="157">
        <f>L20</f>
        <v>0</v>
      </c>
      <c r="F11" s="157">
        <f>M20</f>
        <v>3.2482666666666664</v>
      </c>
      <c r="G11" s="32"/>
      <c r="H11" s="33"/>
      <c r="I11" s="33">
        <v>0</v>
      </c>
      <c r="J11" s="33">
        <v>1.5</v>
      </c>
      <c r="K11" s="33">
        <v>4.5</v>
      </c>
      <c r="L11" s="87">
        <v>0</v>
      </c>
      <c r="M11" s="2">
        <v>0.25</v>
      </c>
    </row>
    <row r="12" spans="1:13" x14ac:dyDescent="0.2">
      <c r="A12" t="s">
        <v>761</v>
      </c>
      <c r="B12" s="175"/>
      <c r="D12" s="32"/>
      <c r="E12" s="32"/>
      <c r="F12" s="32"/>
      <c r="G12" s="32"/>
      <c r="H12" s="33" t="s">
        <v>438</v>
      </c>
      <c r="I12" s="211">
        <f>I11*'Insumos 1'!$G$112</f>
        <v>0</v>
      </c>
      <c r="J12" s="211">
        <f>J11*'Insumos 1'!$G$112</f>
        <v>95.763598931525735</v>
      </c>
      <c r="K12" s="211">
        <f>K11*'Insumos 1'!$G$112</f>
        <v>287.2907967945772</v>
      </c>
      <c r="L12" s="211">
        <f>L11*'Insumos 1'!$G$112</f>
        <v>0</v>
      </c>
      <c r="M12" s="211">
        <f>M11*'Insumos 1'!$G$112</f>
        <v>15.960599821920956</v>
      </c>
    </row>
    <row r="13" spans="1:13" ht="16" thickBot="1" x14ac:dyDescent="0.25">
      <c r="A13" s="98" t="s">
        <v>444</v>
      </c>
      <c r="B13" s="98"/>
      <c r="C13" s="99">
        <f>'Insumos 3'!S8</f>
        <v>2.80714</v>
      </c>
      <c r="D13" s="98">
        <f>'Insumos 3'!AB6</f>
        <v>12.47</v>
      </c>
      <c r="E13" s="100">
        <f>'Insumos 3'!AB6*2</f>
        <v>24.94</v>
      </c>
      <c r="F13" s="99">
        <f>'Insumos 3'!AF9</f>
        <v>9.6525333333333343</v>
      </c>
      <c r="H13" s="339" t="s">
        <v>90</v>
      </c>
      <c r="I13" s="339"/>
      <c r="J13" s="339"/>
      <c r="K13" s="339"/>
      <c r="L13" s="339"/>
      <c r="M13" s="339"/>
    </row>
    <row r="14" spans="1:13" ht="16" thickTop="1" x14ac:dyDescent="0.2">
      <c r="A14" t="s">
        <v>455</v>
      </c>
      <c r="C14" s="127">
        <f>SUM(C4:C13)+(D14/6)</f>
        <v>34.161774303905574</v>
      </c>
      <c r="D14" s="127">
        <f>SUM(D4:D13)</f>
        <v>188.12780582343345</v>
      </c>
      <c r="E14" s="127">
        <f>SUM(E4:E13)</f>
        <v>504.65497069404626</v>
      </c>
      <c r="F14" s="127">
        <f>SUM(F4:F13)</f>
        <v>41.388219918636409</v>
      </c>
      <c r="G14" s="32"/>
      <c r="H14" s="33" t="s">
        <v>369</v>
      </c>
      <c r="I14" s="33" t="s">
        <v>370</v>
      </c>
      <c r="J14" s="33" t="s">
        <v>371</v>
      </c>
      <c r="K14" s="33" t="s">
        <v>373</v>
      </c>
      <c r="L14" s="33" t="s">
        <v>448</v>
      </c>
      <c r="M14" s="2" t="s">
        <v>375</v>
      </c>
    </row>
    <row r="15" spans="1:13" ht="16" x14ac:dyDescent="0.2">
      <c r="A15" s="368" t="s">
        <v>791</v>
      </c>
      <c r="B15" s="51"/>
      <c r="C15" s="32">
        <f>SUM(C4:C13)+(D15/6)</f>
        <v>33.090206814727665</v>
      </c>
      <c r="D15" s="32">
        <f>D14-D5-D7-D9-D12</f>
        <v>181.698400888366</v>
      </c>
      <c r="E15" s="32">
        <f>E14-E5-E7-E9-E12</f>
        <v>503.0162569430106</v>
      </c>
      <c r="F15" s="32">
        <f>F14-F5-F7-F9-F12</f>
        <v>40.538249099520911</v>
      </c>
      <c r="G15" s="32"/>
      <c r="H15" s="33"/>
      <c r="I15" s="33">
        <v>0</v>
      </c>
      <c r="J15" s="33">
        <v>1.5</v>
      </c>
      <c r="K15" s="33">
        <v>4.5</v>
      </c>
      <c r="L15" s="87">
        <v>0</v>
      </c>
      <c r="M15" s="2">
        <v>0.01</v>
      </c>
    </row>
    <row r="16" spans="1:13" x14ac:dyDescent="0.2">
      <c r="F16" s="32">
        <f>F14*0.2</f>
        <v>8.2776439837272822</v>
      </c>
      <c r="H16" s="33" t="s">
        <v>438</v>
      </c>
      <c r="I16" s="88">
        <f>I15*'Insumos 1'!$G$32</f>
        <v>0</v>
      </c>
      <c r="J16" s="88">
        <f>J15*'Costo Materia Prima'!$I$39</f>
        <v>473.57437500000003</v>
      </c>
      <c r="K16" s="88">
        <f>K15*'Costo Materia Prima'!$I$39</f>
        <v>1420.723125</v>
      </c>
      <c r="L16" s="88">
        <f>L15*'Costo Materia Prima'!$I$39</f>
        <v>0</v>
      </c>
      <c r="M16" s="88">
        <f>M15*'Costo Materia Prima'!$I$39</f>
        <v>3.1571625000000001</v>
      </c>
    </row>
    <row r="17" spans="2:13" x14ac:dyDescent="0.2">
      <c r="C17" s="32">
        <f>F10+F11+C14</f>
        <v>40.567203470572238</v>
      </c>
      <c r="D17" s="32"/>
      <c r="E17" s="32"/>
      <c r="F17" s="32">
        <f>F16+F14</f>
        <v>49.665863902363689</v>
      </c>
      <c r="G17" s="32"/>
      <c r="H17" s="339" t="s">
        <v>87</v>
      </c>
      <c r="I17" s="339"/>
      <c r="J17" s="339"/>
      <c r="K17" s="339"/>
      <c r="L17" s="339"/>
      <c r="M17" s="339"/>
    </row>
    <row r="18" spans="2:13" x14ac:dyDescent="0.2">
      <c r="C18">
        <f>(270/8)/6</f>
        <v>5.625</v>
      </c>
      <c r="F18" s="32">
        <f>F17/(1-0.2)</f>
        <v>62.082329877954606</v>
      </c>
      <c r="H18" s="33" t="s">
        <v>369</v>
      </c>
      <c r="I18" s="33" t="s">
        <v>370</v>
      </c>
      <c r="J18" s="33" t="s">
        <v>371</v>
      </c>
      <c r="K18" s="33" t="s">
        <v>373</v>
      </c>
      <c r="L18" s="33" t="s">
        <v>448</v>
      </c>
      <c r="M18" s="2" t="s">
        <v>375</v>
      </c>
    </row>
    <row r="19" spans="2:13" x14ac:dyDescent="0.2">
      <c r="B19" s="51"/>
      <c r="C19" s="32">
        <f>C17+C18</f>
        <v>46.192203470572238</v>
      </c>
      <c r="D19" s="32">
        <f>D14/(1-0.5)</f>
        <v>376.2556116468669</v>
      </c>
      <c r="E19" s="32"/>
      <c r="F19" s="32"/>
      <c r="G19" s="32"/>
      <c r="H19" s="33"/>
      <c r="I19" s="33">
        <v>0</v>
      </c>
      <c r="J19" s="33">
        <v>1.5</v>
      </c>
      <c r="K19" s="33">
        <v>4.5</v>
      </c>
      <c r="L19" s="87">
        <v>0</v>
      </c>
      <c r="M19" s="2">
        <v>0.01</v>
      </c>
    </row>
    <row r="20" spans="2:13" x14ac:dyDescent="0.2">
      <c r="H20" s="33" t="s">
        <v>438</v>
      </c>
      <c r="I20" s="88">
        <f>I19*'Insumos 1'!$G$32</f>
        <v>0</v>
      </c>
      <c r="J20" s="88">
        <f>J19*'Costo Materia Prima'!$I$37</f>
        <v>487.24</v>
      </c>
      <c r="K20" s="88">
        <f>K19*'Costo Materia Prima'!$I$37</f>
        <v>1461.72</v>
      </c>
      <c r="L20" s="88">
        <f>L19*'Costo Materia Prima'!$I$37</f>
        <v>0</v>
      </c>
      <c r="M20" s="88">
        <f>M19*'Costo Materia Prima'!$I$37</f>
        <v>3.2482666666666664</v>
      </c>
    </row>
    <row r="21" spans="2:13" x14ac:dyDescent="0.2">
      <c r="D21">
        <f>430/6</f>
        <v>71.666666666666671</v>
      </c>
    </row>
  </sheetData>
  <mergeCells count="5">
    <mergeCell ref="H17:M17"/>
    <mergeCell ref="C2:F2"/>
    <mergeCell ref="H2:M2"/>
    <mergeCell ref="H9:M9"/>
    <mergeCell ref="H13:M13"/>
  </mergeCells>
  <pageMargins left="0.7" right="0.7" top="0.75" bottom="0.75" header="0.3" footer="0.3"/>
  <pageSetup orientation="portrait" horizontalDpi="0" verticalDpi="0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CF818F-02C3-4C7D-BCEF-E96FC0A47B0E}">
  <sheetPr codeName="Hoja29"/>
  <dimension ref="A3:P21"/>
  <sheetViews>
    <sheetView workbookViewId="0">
      <selection activeCell="A11" sqref="A11:H12"/>
    </sheetView>
  </sheetViews>
  <sheetFormatPr baseColWidth="10" defaultColWidth="9.1640625" defaultRowHeight="15" x14ac:dyDescent="0.2"/>
  <cols>
    <col min="1" max="1" width="23.6640625" bestFit="1" customWidth="1"/>
    <col min="6" max="7" width="10.33203125" bestFit="1" customWidth="1"/>
    <col min="8" max="8" width="11.33203125" bestFit="1" customWidth="1"/>
    <col min="10" max="10" width="16.5" bestFit="1" customWidth="1"/>
    <col min="11" max="11" width="8.83203125" bestFit="1" customWidth="1"/>
    <col min="14" max="14" width="9.83203125" bestFit="1" customWidth="1"/>
    <col min="15" max="15" width="11.5" bestFit="1" customWidth="1"/>
  </cols>
  <sheetData>
    <row r="3" spans="1:16" x14ac:dyDescent="0.2">
      <c r="C3" s="310" t="s">
        <v>444</v>
      </c>
      <c r="D3" s="310"/>
      <c r="E3" s="310"/>
      <c r="F3" s="310"/>
      <c r="G3" s="310"/>
      <c r="H3" s="310"/>
      <c r="J3" s="338" t="s">
        <v>563</v>
      </c>
      <c r="K3" s="353"/>
      <c r="L3" s="338"/>
      <c r="M3" s="338"/>
      <c r="N3" s="353"/>
      <c r="O3" s="353"/>
      <c r="P3" s="353"/>
    </row>
    <row r="4" spans="1:16" x14ac:dyDescent="0.2">
      <c r="A4" s="20" t="s">
        <v>445</v>
      </c>
      <c r="B4" s="20"/>
      <c r="C4" s="20" t="s">
        <v>413</v>
      </c>
      <c r="D4" s="20" t="s">
        <v>375</v>
      </c>
      <c r="E4" s="20" t="s">
        <v>370</v>
      </c>
      <c r="F4" s="20" t="s">
        <v>371</v>
      </c>
      <c r="G4" s="20" t="s">
        <v>372</v>
      </c>
      <c r="H4" s="20" t="s">
        <v>373</v>
      </c>
      <c r="J4" s="40" t="s">
        <v>369</v>
      </c>
      <c r="K4" s="33" t="s">
        <v>370</v>
      </c>
      <c r="L4" s="35" t="s">
        <v>371</v>
      </c>
      <c r="M4" s="42" t="s">
        <v>372</v>
      </c>
      <c r="N4" s="29" t="s">
        <v>373</v>
      </c>
      <c r="O4" s="29" t="s">
        <v>448</v>
      </c>
      <c r="P4" s="49" t="s">
        <v>375</v>
      </c>
    </row>
    <row r="5" spans="1:16" x14ac:dyDescent="0.2">
      <c r="A5" t="s">
        <v>564</v>
      </c>
      <c r="E5" s="5">
        <f>'Insumos 2'!T83</f>
        <v>14.416928778617647</v>
      </c>
      <c r="F5" s="5">
        <f>'Insumos 2'!U83</f>
        <v>32.22607609338062</v>
      </c>
      <c r="G5" s="5">
        <f>'Insumos 2'!V83</f>
        <v>48.339114140070926</v>
      </c>
      <c r="H5" s="5">
        <f>'Insumos 2'!W83</f>
        <v>75.476862429233563</v>
      </c>
      <c r="J5" s="54" t="s">
        <v>450</v>
      </c>
      <c r="K5" s="33">
        <v>0.3</v>
      </c>
      <c r="L5" s="92">
        <v>0.64</v>
      </c>
      <c r="M5" s="44">
        <v>0.81499999999999995</v>
      </c>
      <c r="N5" s="45">
        <v>1.25</v>
      </c>
      <c r="O5" s="60"/>
      <c r="P5" s="49"/>
    </row>
    <row r="6" spans="1:16" x14ac:dyDescent="0.2">
      <c r="E6" s="5">
        <v>0</v>
      </c>
      <c r="F6" s="5">
        <f>[2]PAN!$L$18*2</f>
        <v>4.2666483483093263</v>
      </c>
      <c r="G6" s="5">
        <f>[2]PAN!$L$17*2</f>
        <v>7.1110805805155444</v>
      </c>
      <c r="H6" s="5">
        <f>[2]PAN!$L$16*2</f>
        <v>10.666620870773317</v>
      </c>
      <c r="J6" s="93" t="s">
        <v>452</v>
      </c>
      <c r="K6" s="33">
        <v>0.09</v>
      </c>
      <c r="L6" s="63">
        <v>0.18</v>
      </c>
      <c r="M6" s="48">
        <v>0.26</v>
      </c>
      <c r="N6" s="60">
        <v>0.4</v>
      </c>
      <c r="O6" s="60"/>
      <c r="P6" s="49"/>
    </row>
    <row r="7" spans="1:16" x14ac:dyDescent="0.2">
      <c r="A7" t="s">
        <v>563</v>
      </c>
      <c r="E7" s="5">
        <f>K9</f>
        <v>33.289685540412499</v>
      </c>
      <c r="F7" s="32">
        <f>L9</f>
        <v>64.078737425207152</v>
      </c>
      <c r="G7" s="32">
        <f>M9</f>
        <v>84.005661868411806</v>
      </c>
      <c r="H7" s="32">
        <f>N9</f>
        <v>128.93892286779487</v>
      </c>
      <c r="J7" s="93" t="s">
        <v>453</v>
      </c>
      <c r="K7" s="33">
        <f>(3/1000)*12</f>
        <v>3.6000000000000004E-2</v>
      </c>
      <c r="L7" s="63"/>
      <c r="M7" s="48"/>
      <c r="N7" s="60"/>
      <c r="O7" s="60"/>
      <c r="P7" s="49"/>
    </row>
    <row r="8" spans="1:16" x14ac:dyDescent="0.2">
      <c r="E8" s="5"/>
      <c r="F8" s="32"/>
      <c r="G8" s="32"/>
      <c r="H8" s="32"/>
      <c r="J8" s="93" t="s">
        <v>438</v>
      </c>
      <c r="K8" s="87">
        <f t="shared" ref="K8:P8" si="0">SUM(K5:K7)</f>
        <v>0.42600000000000005</v>
      </c>
      <c r="L8" s="63">
        <f t="shared" si="0"/>
        <v>0.82000000000000006</v>
      </c>
      <c r="M8" s="67">
        <f t="shared" si="0"/>
        <v>1.075</v>
      </c>
      <c r="N8" s="60">
        <f t="shared" si="0"/>
        <v>1.65</v>
      </c>
      <c r="O8" s="60">
        <f t="shared" si="0"/>
        <v>0</v>
      </c>
      <c r="P8" s="60">
        <f t="shared" si="0"/>
        <v>0</v>
      </c>
    </row>
    <row r="9" spans="1:16" x14ac:dyDescent="0.2">
      <c r="A9" t="s">
        <v>192</v>
      </c>
      <c r="E9" s="5">
        <f>K14</f>
        <v>0.56376000000000004</v>
      </c>
      <c r="F9" s="32">
        <f>L14</f>
        <v>1.1275200000000001</v>
      </c>
      <c r="G9" s="32">
        <f>M14</f>
        <v>1.6912800000000001</v>
      </c>
      <c r="H9" s="32">
        <f>N14</f>
        <v>2.5369199999999998</v>
      </c>
      <c r="J9" s="102" t="s">
        <v>438</v>
      </c>
      <c r="K9" s="103">
        <f>K8*'Insumos 1'!$G$102</f>
        <v>33.289685540412499</v>
      </c>
      <c r="L9" s="103">
        <f>L8*'Insumos 1'!$G$102</f>
        <v>64.078737425207152</v>
      </c>
      <c r="M9" s="103">
        <f>M8*'Insumos 1'!$G$102</f>
        <v>84.005661868411806</v>
      </c>
      <c r="N9" s="103">
        <f>N8*'Insumos 1'!$G$102</f>
        <v>128.93892286779487</v>
      </c>
      <c r="O9" s="103">
        <f>O8*'Insumos 1'!$G$102</f>
        <v>0</v>
      </c>
      <c r="P9" s="103">
        <f>P8*'Insumos 1'!$G$102</f>
        <v>0</v>
      </c>
    </row>
    <row r="10" spans="1:16" x14ac:dyDescent="0.2">
      <c r="A10" s="175" t="s">
        <v>761</v>
      </c>
      <c r="E10" s="5"/>
      <c r="F10" s="32"/>
      <c r="G10" s="32"/>
      <c r="H10" s="32"/>
      <c r="J10" s="301" t="s">
        <v>192</v>
      </c>
      <c r="K10" s="301"/>
      <c r="L10" s="301"/>
      <c r="M10" s="301"/>
      <c r="N10" s="301"/>
      <c r="O10" s="301"/>
      <c r="P10" s="301"/>
    </row>
    <row r="11" spans="1:16" ht="16" thickBot="1" x14ac:dyDescent="0.25">
      <c r="A11" s="98" t="s">
        <v>444</v>
      </c>
      <c r="B11" s="98"/>
      <c r="C11" s="99">
        <f>'Insumos 3'!S8</f>
        <v>2.80714</v>
      </c>
      <c r="D11" s="98"/>
      <c r="E11" s="100">
        <f>'Insumos 3'!O8</f>
        <v>11.486000000000001</v>
      </c>
      <c r="F11" s="99">
        <f>'Insumos 3'!K8</f>
        <v>13.628489999999999</v>
      </c>
      <c r="G11" s="99">
        <f>'Insumos 3'!G8</f>
        <v>15.598399999999998</v>
      </c>
      <c r="H11" s="99">
        <f>'Insumos 3'!C7</f>
        <v>28.574509999999997</v>
      </c>
      <c r="J11" s="33" t="s">
        <v>369</v>
      </c>
      <c r="K11" s="33" t="s">
        <v>370</v>
      </c>
      <c r="L11" s="33" t="s">
        <v>371</v>
      </c>
      <c r="M11" s="33" t="s">
        <v>372</v>
      </c>
      <c r="N11" s="33" t="s">
        <v>373</v>
      </c>
      <c r="O11" s="33" t="s">
        <v>448</v>
      </c>
      <c r="P11" s="2" t="s">
        <v>375</v>
      </c>
    </row>
    <row r="12" spans="1:16" ht="16" thickTop="1" x14ac:dyDescent="0.2">
      <c r="A12" t="s">
        <v>455</v>
      </c>
      <c r="C12" s="127">
        <f>SUM(C5:C11)+(G12/10)</f>
        <v>18.481693658899829</v>
      </c>
      <c r="D12" s="127">
        <f>SUM(D5:D11)</f>
        <v>0</v>
      </c>
      <c r="E12" s="127">
        <f>SUM(E5:E11)</f>
        <v>59.756374319030144</v>
      </c>
      <c r="F12" s="127">
        <f>SUM(F5:F11)</f>
        <v>115.3274718668971</v>
      </c>
      <c r="G12" s="127">
        <f>SUM(G5:G11)</f>
        <v>156.74553658899828</v>
      </c>
      <c r="H12" s="127">
        <f>SUM(H5:H11)</f>
        <v>246.19383616780178</v>
      </c>
      <c r="J12" s="33" t="s">
        <v>453</v>
      </c>
      <c r="K12" s="33">
        <v>2E-3</v>
      </c>
      <c r="L12" s="87">
        <v>4.0000000000000001E-3</v>
      </c>
      <c r="M12" s="87">
        <v>6.0000000000000001E-3</v>
      </c>
      <c r="N12" s="87">
        <v>8.9999999999999993E-3</v>
      </c>
      <c r="O12" s="87"/>
      <c r="P12" s="2"/>
    </row>
    <row r="13" spans="1:16" ht="16" x14ac:dyDescent="0.2">
      <c r="A13" s="368" t="s">
        <v>791</v>
      </c>
      <c r="C13" s="5">
        <f>SUM(C5:C11)+(G13/10)</f>
        <v>17.770585600848275</v>
      </c>
      <c r="D13" s="32">
        <f>D12-D6</f>
        <v>0</v>
      </c>
      <c r="E13" s="32">
        <f>E12-E6</f>
        <v>59.756374319030144</v>
      </c>
      <c r="F13" s="32">
        <f>F12-F6</f>
        <v>111.06082351858777</v>
      </c>
      <c r="G13" s="32">
        <f>G12-G6</f>
        <v>149.63445600848274</v>
      </c>
      <c r="H13" s="32">
        <f>H12-H6</f>
        <v>235.52721529702845</v>
      </c>
      <c r="J13" s="33" t="s">
        <v>438</v>
      </c>
      <c r="K13" s="87">
        <f>SUM(K12)</f>
        <v>2E-3</v>
      </c>
      <c r="L13" s="87">
        <f>SUM(L12)</f>
        <v>4.0000000000000001E-3</v>
      </c>
      <c r="M13" s="87">
        <f t="shared" ref="M13:N13" si="1">SUM(M12)</f>
        <v>6.0000000000000001E-3</v>
      </c>
      <c r="N13" s="87">
        <f t="shared" si="1"/>
        <v>8.9999999999999993E-3</v>
      </c>
      <c r="O13" s="87">
        <f>SUM(O12)</f>
        <v>0</v>
      </c>
      <c r="P13" s="87">
        <f t="shared" ref="P13" si="2">SUM(P12)</f>
        <v>0</v>
      </c>
    </row>
    <row r="14" spans="1:16" x14ac:dyDescent="0.2">
      <c r="A14" t="s">
        <v>503</v>
      </c>
      <c r="B14" s="51">
        <v>0.3</v>
      </c>
      <c r="C14" s="32">
        <f t="shared" ref="C14:H14" si="3">$B$14*C12</f>
        <v>5.5445080976699481</v>
      </c>
      <c r="D14" s="32">
        <f t="shared" si="3"/>
        <v>0</v>
      </c>
      <c r="E14" s="32">
        <f t="shared" si="3"/>
        <v>17.926912295709041</v>
      </c>
      <c r="F14" s="32">
        <f t="shared" si="3"/>
        <v>34.598241560069127</v>
      </c>
      <c r="G14" s="32">
        <f t="shared" si="3"/>
        <v>47.023660976699482</v>
      </c>
      <c r="H14" s="32">
        <f t="shared" si="3"/>
        <v>73.858150850340536</v>
      </c>
      <c r="J14" s="33" t="s">
        <v>438</v>
      </c>
      <c r="K14" s="104">
        <f>K13*'Costo Materia Prima'!$I$85</f>
        <v>0.56376000000000004</v>
      </c>
      <c r="L14" s="104">
        <f>L13*'Costo Materia Prima'!$I$85</f>
        <v>1.1275200000000001</v>
      </c>
      <c r="M14" s="104">
        <f>M13*'Costo Materia Prima'!$I$85</f>
        <v>1.6912800000000001</v>
      </c>
      <c r="N14" s="104">
        <f>N13*'Costo Materia Prima'!$I$85</f>
        <v>2.5369199999999998</v>
      </c>
      <c r="O14" s="104">
        <f>O13*'Costo Materia Prima'!$I$85</f>
        <v>0</v>
      </c>
      <c r="P14" s="104">
        <f>P13*'Costo Materia Prima'!$I$85</f>
        <v>0</v>
      </c>
    </row>
    <row r="15" spans="1:16" x14ac:dyDescent="0.2">
      <c r="A15" t="s">
        <v>529</v>
      </c>
      <c r="B15" s="51">
        <v>0.05</v>
      </c>
      <c r="C15" s="32">
        <f t="shared" ref="C15:H15" si="4">$B$15*C12</f>
        <v>0.92408468294499146</v>
      </c>
      <c r="D15" s="32">
        <f t="shared" si="4"/>
        <v>0</v>
      </c>
      <c r="E15" s="32">
        <f t="shared" si="4"/>
        <v>2.9878187159515073</v>
      </c>
      <c r="F15" s="32">
        <f t="shared" si="4"/>
        <v>5.7663735933448557</v>
      </c>
      <c r="G15" s="32">
        <f t="shared" si="4"/>
        <v>7.8372768294499142</v>
      </c>
      <c r="H15" s="32">
        <f t="shared" si="4"/>
        <v>12.30969180839009</v>
      </c>
    </row>
    <row r="17" spans="1:8" x14ac:dyDescent="0.2">
      <c r="A17" t="s">
        <v>494</v>
      </c>
      <c r="C17" s="32">
        <f>SUM(C12,C14:C15)</f>
        <v>24.950286439514766</v>
      </c>
      <c r="D17" s="32">
        <f t="shared" ref="D17:H17" si="5">SUM(D12,D14:D15)</f>
        <v>0</v>
      </c>
      <c r="E17" s="32">
        <f>SUM(E12,E14:E15)</f>
        <v>80.671105330690693</v>
      </c>
      <c r="F17" s="32">
        <f>SUM(F12,F14:F15)</f>
        <v>155.69208702031111</v>
      </c>
      <c r="G17" s="32">
        <f t="shared" si="5"/>
        <v>211.60647439514767</v>
      </c>
      <c r="H17" s="32">
        <f t="shared" si="5"/>
        <v>332.3616788265324</v>
      </c>
    </row>
    <row r="19" spans="1:8" x14ac:dyDescent="0.2">
      <c r="A19" t="s">
        <v>504</v>
      </c>
      <c r="B19" s="51">
        <v>0.5</v>
      </c>
      <c r="C19" s="32">
        <f t="shared" ref="C19:H19" si="6">C17/(1-$B$19)</f>
        <v>49.900572879029532</v>
      </c>
      <c r="D19" s="32">
        <f t="shared" si="6"/>
        <v>0</v>
      </c>
      <c r="E19" s="32">
        <f t="shared" si="6"/>
        <v>161.34221066138139</v>
      </c>
      <c r="F19" s="32">
        <f t="shared" si="6"/>
        <v>311.38417404062221</v>
      </c>
      <c r="G19" s="32">
        <f t="shared" si="6"/>
        <v>423.21294879029534</v>
      </c>
      <c r="H19" s="32">
        <f t="shared" si="6"/>
        <v>664.7233576530648</v>
      </c>
    </row>
    <row r="20" spans="1:8" x14ac:dyDescent="0.2">
      <c r="G20">
        <v>420</v>
      </c>
    </row>
    <row r="21" spans="1:8" x14ac:dyDescent="0.2">
      <c r="G21" s="26">
        <f>(G20-G17)/G20</f>
        <v>0.4961750609639341</v>
      </c>
    </row>
  </sheetData>
  <mergeCells count="2">
    <mergeCell ref="J3:P3"/>
    <mergeCell ref="C3:H3"/>
  </mergeCells>
  <pageMargins left="0.7" right="0.7" top="0.75" bottom="0.75" header="0.3" footer="0.3"/>
  <pageSetup orientation="portrait" horizontalDpi="0" verticalDpi="0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937201-61CC-314F-8396-1DFD1E7CF56A}">
  <sheetPr codeName="Hoja28"/>
  <dimension ref="A2:Y22"/>
  <sheetViews>
    <sheetView workbookViewId="0">
      <selection activeCell="N1" sqref="N1:N1048576"/>
    </sheetView>
  </sheetViews>
  <sheetFormatPr baseColWidth="10" defaultColWidth="9.1640625" defaultRowHeight="15" x14ac:dyDescent="0.2"/>
  <cols>
    <col min="1" max="1" width="15.6640625" bestFit="1" customWidth="1"/>
    <col min="2" max="2" width="12.5" customWidth="1"/>
    <col min="3" max="3" width="9.83203125" bestFit="1" customWidth="1"/>
    <col min="4" max="4" width="9.6640625" bestFit="1" customWidth="1"/>
    <col min="7" max="7" width="13" bestFit="1" customWidth="1"/>
    <col min="8" max="8" width="13" customWidth="1"/>
    <col min="10" max="10" width="16.5" bestFit="1" customWidth="1"/>
    <col min="11" max="12" width="8.6640625" bestFit="1" customWidth="1"/>
    <col min="13" max="13" width="16.33203125" bestFit="1" customWidth="1"/>
    <col min="14" max="14" width="9.6640625" bestFit="1" customWidth="1"/>
    <col min="15" max="15" width="10.1640625" bestFit="1" customWidth="1"/>
    <col min="16" max="16" width="15.33203125" bestFit="1" customWidth="1"/>
    <col min="17" max="19" width="8.83203125" bestFit="1" customWidth="1"/>
    <col min="20" max="20" width="10.5" bestFit="1" customWidth="1"/>
    <col min="25" max="25" width="18.1640625" bestFit="1" customWidth="1"/>
  </cols>
  <sheetData>
    <row r="2" spans="1:25" x14ac:dyDescent="0.2">
      <c r="C2" s="310" t="s">
        <v>444</v>
      </c>
      <c r="D2" s="310"/>
      <c r="E2" s="310"/>
      <c r="F2" s="310"/>
      <c r="G2" s="310"/>
      <c r="H2" s="310"/>
      <c r="J2" s="338" t="s">
        <v>345</v>
      </c>
      <c r="K2" s="338"/>
      <c r="L2" s="338"/>
      <c r="M2" s="338"/>
      <c r="N2" s="338"/>
      <c r="O2" s="338"/>
    </row>
    <row r="3" spans="1:25" x14ac:dyDescent="0.2">
      <c r="A3" s="20" t="s">
        <v>445</v>
      </c>
      <c r="B3" s="20"/>
      <c r="C3" s="20" t="s">
        <v>413</v>
      </c>
      <c r="D3" s="20" t="s">
        <v>375</v>
      </c>
      <c r="E3" s="20" t="s">
        <v>370</v>
      </c>
      <c r="F3" s="20" t="s">
        <v>371</v>
      </c>
      <c r="G3" s="20" t="s">
        <v>372</v>
      </c>
      <c r="H3" s="20" t="s">
        <v>373</v>
      </c>
      <c r="J3" s="40" t="s">
        <v>369</v>
      </c>
      <c r="K3" s="30" t="s">
        <v>370</v>
      </c>
      <c r="L3" s="30" t="s">
        <v>371</v>
      </c>
      <c r="M3" s="41" t="s">
        <v>372</v>
      </c>
      <c r="N3" s="42" t="s">
        <v>373</v>
      </c>
      <c r="O3" s="30" t="s">
        <v>448</v>
      </c>
      <c r="P3" s="367" t="s">
        <v>571</v>
      </c>
      <c r="W3" t="s">
        <v>467</v>
      </c>
      <c r="X3">
        <f>70/1000</f>
        <v>7.0000000000000007E-2</v>
      </c>
      <c r="Y3" t="s">
        <v>468</v>
      </c>
    </row>
    <row r="4" spans="1:25" x14ac:dyDescent="0.2">
      <c r="A4" t="s">
        <v>390</v>
      </c>
      <c r="E4" s="32">
        <f>'Insumos 2'!T114</f>
        <v>12.762853589735657</v>
      </c>
      <c r="F4" s="32">
        <f>'Insumos 2'!U114</f>
        <v>28.528731553526761</v>
      </c>
      <c r="G4" s="32">
        <f>'Insumos 2'!V114</f>
        <v>41.291585143262424</v>
      </c>
      <c r="H4" s="32">
        <f>'Insumos 2'!W114</f>
        <v>72.072584977330763</v>
      </c>
      <c r="J4" s="54" t="s">
        <v>450</v>
      </c>
      <c r="K4" s="43">
        <v>0</v>
      </c>
      <c r="L4" s="43">
        <v>0.5</v>
      </c>
      <c r="M4" s="44">
        <v>0.75</v>
      </c>
      <c r="N4" s="45">
        <v>1.2</v>
      </c>
      <c r="O4" s="43">
        <v>1.96</v>
      </c>
      <c r="P4" s="367"/>
    </row>
    <row r="5" spans="1:25" x14ac:dyDescent="0.2">
      <c r="E5" s="32">
        <v>0</v>
      </c>
      <c r="F5" s="32">
        <f>[2]PAN!$L$14*2</f>
        <v>3.0619630599005481</v>
      </c>
      <c r="G5" s="32">
        <f>[2]PAN!$L$13*2</f>
        <v>5.1032717665009137</v>
      </c>
      <c r="H5" s="32">
        <f>[2]PAN!$L$12*2</f>
        <v>7.6549076497513697</v>
      </c>
      <c r="J5" s="29" t="s">
        <v>452</v>
      </c>
      <c r="K5" s="60">
        <v>0</v>
      </c>
      <c r="L5" s="60">
        <v>0.18</v>
      </c>
      <c r="M5" s="48">
        <v>0.25</v>
      </c>
      <c r="N5" s="60">
        <v>0.39</v>
      </c>
      <c r="O5" s="55">
        <v>0.7</v>
      </c>
      <c r="P5" s="367"/>
    </row>
    <row r="6" spans="1:25" x14ac:dyDescent="0.2">
      <c r="A6" t="s">
        <v>469</v>
      </c>
      <c r="E6" s="32">
        <f>K8</f>
        <v>0</v>
      </c>
      <c r="F6" s="32">
        <f>L8</f>
        <v>62.999644994433822</v>
      </c>
      <c r="G6" s="32">
        <f>M8</f>
        <v>92.646536756520334</v>
      </c>
      <c r="H6" s="32">
        <f>N8</f>
        <v>147.30799344286731</v>
      </c>
      <c r="J6" s="29" t="s">
        <v>453</v>
      </c>
      <c r="K6" s="60"/>
      <c r="L6" s="60"/>
      <c r="M6" s="47"/>
      <c r="N6" s="48"/>
      <c r="O6" s="55"/>
      <c r="P6" s="367"/>
      <c r="W6" t="s">
        <v>438</v>
      </c>
      <c r="X6">
        <f>'Insumos 2'!G110</f>
        <v>1.87</v>
      </c>
      <c r="Y6" t="s">
        <v>471</v>
      </c>
    </row>
    <row r="7" spans="1:25" x14ac:dyDescent="0.2">
      <c r="B7" s="13">
        <f>[2]INSUMOS!$K$14</f>
        <v>1.092475834023773</v>
      </c>
      <c r="E7" s="13">
        <f>$B$7*K7</f>
        <v>0</v>
      </c>
      <c r="F7" s="13">
        <f>$B$7*L7</f>
        <v>0.74288356713616555</v>
      </c>
      <c r="G7" s="13">
        <f>$B$7*M7</f>
        <v>1.092475834023773</v>
      </c>
      <c r="H7" s="13">
        <f>$B$7*N7</f>
        <v>1.737036576097799</v>
      </c>
      <c r="J7" s="29" t="s">
        <v>438</v>
      </c>
      <c r="K7" s="60">
        <f>SUM(K4:K6)</f>
        <v>0</v>
      </c>
      <c r="L7" s="60">
        <f>SUM(L4:L6)</f>
        <v>0.67999999999999994</v>
      </c>
      <c r="M7" s="46">
        <f t="shared" ref="M7:O7" si="0">SUM(M4:M6)</f>
        <v>1</v>
      </c>
      <c r="N7" s="46">
        <f t="shared" si="0"/>
        <v>1.5899999999999999</v>
      </c>
      <c r="O7" s="46">
        <f t="shared" si="0"/>
        <v>2.66</v>
      </c>
      <c r="P7" s="367"/>
    </row>
    <row r="8" spans="1:25" x14ac:dyDescent="0.2">
      <c r="A8" t="s">
        <v>188</v>
      </c>
      <c r="E8" s="32">
        <f>K14</f>
        <v>0</v>
      </c>
      <c r="F8" s="32">
        <f>L14</f>
        <v>5.7</v>
      </c>
      <c r="G8" s="32">
        <f>M14</f>
        <v>9.120000000000001</v>
      </c>
      <c r="H8" s="32">
        <f>N14</f>
        <v>68.399999999999991</v>
      </c>
      <c r="J8" s="36" t="s">
        <v>454</v>
      </c>
      <c r="K8" s="61">
        <f>K7*'Insumos 1'!$G$13</f>
        <v>0</v>
      </c>
      <c r="L8" s="61">
        <f>L7*'Insumos 1'!$G$13</f>
        <v>62.999644994433822</v>
      </c>
      <c r="M8" s="62">
        <f>M7*'Insumos 1'!$G$13</f>
        <v>92.646536756520334</v>
      </c>
      <c r="N8" s="62">
        <f>N7*'Insumos 1'!$G$13</f>
        <v>147.30799344286731</v>
      </c>
      <c r="O8" s="62">
        <f>O7*'Insumos 1'!$G$13</f>
        <v>246.43978777234409</v>
      </c>
      <c r="W8" t="s">
        <v>438</v>
      </c>
      <c r="X8">
        <f>'Insumos 2'!B111</f>
        <v>1</v>
      </c>
      <c r="Y8" t="s">
        <v>473</v>
      </c>
    </row>
    <row r="9" spans="1:25" x14ac:dyDescent="0.2">
      <c r="A9" t="s">
        <v>467</v>
      </c>
      <c r="E9" s="32">
        <f>K22</f>
        <v>0</v>
      </c>
      <c r="F9" s="32">
        <f>L22</f>
        <v>0</v>
      </c>
      <c r="G9" s="32">
        <f>M22</f>
        <v>0</v>
      </c>
      <c r="H9" s="32">
        <f>N22</f>
        <v>0</v>
      </c>
      <c r="J9" s="338" t="s">
        <v>188</v>
      </c>
      <c r="K9" s="338"/>
      <c r="L9" s="338"/>
      <c r="M9" s="338"/>
      <c r="N9" s="338"/>
      <c r="O9" s="338"/>
      <c r="X9">
        <f>X8*X3</f>
        <v>7.0000000000000007E-2</v>
      </c>
      <c r="Y9" t="s">
        <v>15</v>
      </c>
    </row>
    <row r="10" spans="1:25" x14ac:dyDescent="0.2">
      <c r="A10" s="175" t="s">
        <v>761</v>
      </c>
      <c r="E10" s="32"/>
      <c r="F10" s="32"/>
      <c r="G10" s="32"/>
      <c r="H10" s="32"/>
      <c r="J10" s="40" t="s">
        <v>369</v>
      </c>
      <c r="K10" s="30" t="s">
        <v>370</v>
      </c>
      <c r="L10" s="30" t="s">
        <v>371</v>
      </c>
      <c r="M10" s="41" t="s">
        <v>372</v>
      </c>
      <c r="N10" s="42" t="s">
        <v>373</v>
      </c>
      <c r="O10" s="30" t="s">
        <v>448</v>
      </c>
    </row>
    <row r="11" spans="1:25" ht="16" thickBot="1" x14ac:dyDescent="0.25">
      <c r="A11" s="98" t="s">
        <v>444</v>
      </c>
      <c r="B11" s="98"/>
      <c r="C11" s="99">
        <f>'Insumos 3'!S8</f>
        <v>2.80714</v>
      </c>
      <c r="D11" s="98"/>
      <c r="E11" s="100">
        <f>'Insumos 3'!J8</f>
        <v>0</v>
      </c>
      <c r="F11" s="100">
        <f>'Insumos 3'!K8</f>
        <v>13.628489999999999</v>
      </c>
      <c r="G11" s="100">
        <f>'Insumos 3'!G8</f>
        <v>15.598399999999998</v>
      </c>
      <c r="H11" s="100">
        <f>'Insumos 3'!C7</f>
        <v>28.574509999999997</v>
      </c>
      <c r="J11" s="54" t="s">
        <v>457</v>
      </c>
      <c r="K11" s="43">
        <v>0</v>
      </c>
      <c r="L11" s="43">
        <v>0</v>
      </c>
      <c r="M11" s="44">
        <v>0</v>
      </c>
      <c r="N11" s="45">
        <v>0.45</v>
      </c>
      <c r="O11" s="43">
        <v>0</v>
      </c>
    </row>
    <row r="12" spans="1:25" ht="16" thickTop="1" x14ac:dyDescent="0.2">
      <c r="A12" t="s">
        <v>455</v>
      </c>
      <c r="C12" s="127">
        <f>SUM(C4:C11)+(F12/10)</f>
        <v>14.273311317499729</v>
      </c>
      <c r="D12" s="127">
        <f t="shared" ref="D12:H12" si="1">SUM(D4:D11)</f>
        <v>0</v>
      </c>
      <c r="E12" s="127">
        <f t="shared" si="1"/>
        <v>12.762853589735657</v>
      </c>
      <c r="F12" s="127">
        <f t="shared" si="1"/>
        <v>114.66171317499729</v>
      </c>
      <c r="G12" s="127">
        <f t="shared" si="1"/>
        <v>164.85226950030747</v>
      </c>
      <c r="H12" s="127">
        <f t="shared" si="1"/>
        <v>325.74703264604722</v>
      </c>
      <c r="J12" s="33" t="s">
        <v>458</v>
      </c>
      <c r="K12" s="46">
        <v>0</v>
      </c>
      <c r="L12" s="46">
        <v>0.05</v>
      </c>
      <c r="M12" s="56">
        <v>0.08</v>
      </c>
      <c r="N12" s="56">
        <v>0.15</v>
      </c>
      <c r="O12" s="56">
        <v>0</v>
      </c>
      <c r="X12">
        <f>X9/X6</f>
        <v>3.7433155080213908E-2</v>
      </c>
      <c r="Y12" t="s">
        <v>476</v>
      </c>
    </row>
    <row r="13" spans="1:25" ht="16" x14ac:dyDescent="0.2">
      <c r="A13" s="368" t="s">
        <v>791</v>
      </c>
      <c r="C13" s="5">
        <f>SUM(C4:C11)+(G13/10)</f>
        <v>18.672792189978281</v>
      </c>
      <c r="D13" s="32">
        <f>D12-D7-D10-D5</f>
        <v>0</v>
      </c>
      <c r="E13" s="32">
        <f>E12-E7-E10-E5</f>
        <v>12.762853589735657</v>
      </c>
      <c r="F13" s="32">
        <f>F12-F7-F10-F5</f>
        <v>110.85686654796058</v>
      </c>
      <c r="G13" s="32">
        <f>G12-G7-G10-G5</f>
        <v>158.6565218997828</v>
      </c>
      <c r="H13" s="32">
        <f>H12-H7-H10-H5</f>
        <v>316.35508842019806</v>
      </c>
      <c r="J13" s="30" t="s">
        <v>188</v>
      </c>
      <c r="K13" s="56">
        <f>SUM(K11:K12)</f>
        <v>0</v>
      </c>
      <c r="L13" s="56">
        <f>SUM(L11:L12)</f>
        <v>0.05</v>
      </c>
      <c r="M13" s="56">
        <f t="shared" ref="M13:O13" si="2">SUM(M11:M12)</f>
        <v>0.08</v>
      </c>
      <c r="N13" s="56">
        <f t="shared" si="2"/>
        <v>0.6</v>
      </c>
      <c r="O13" s="56">
        <f t="shared" si="2"/>
        <v>0</v>
      </c>
    </row>
    <row r="14" spans="1:25" x14ac:dyDescent="0.2">
      <c r="G14" s="32"/>
      <c r="J14" s="30" t="s">
        <v>438</v>
      </c>
      <c r="K14" s="58">
        <f>K13*'Costo Materia Prima'!$I$83</f>
        <v>0</v>
      </c>
      <c r="L14" s="58">
        <f>L13*'Costo Materia Prima'!$I$83</f>
        <v>5.7</v>
      </c>
      <c r="M14" s="58">
        <f>M13*'Costo Materia Prima'!$I$83</f>
        <v>9.120000000000001</v>
      </c>
      <c r="N14" s="58">
        <f>N13*'Costo Materia Prima'!$I$83</f>
        <v>68.399999999999991</v>
      </c>
      <c r="O14" s="58">
        <f>O13*'Costo Materia Prima'!$I$83</f>
        <v>0</v>
      </c>
    </row>
    <row r="15" spans="1:25" x14ac:dyDescent="0.2">
      <c r="J15" s="339" t="s">
        <v>467</v>
      </c>
      <c r="K15" s="339"/>
      <c r="L15" s="339"/>
      <c r="M15" s="339"/>
      <c r="N15" s="339"/>
      <c r="O15" s="339"/>
    </row>
    <row r="16" spans="1:25" x14ac:dyDescent="0.2">
      <c r="J16" s="33" t="s">
        <v>369</v>
      </c>
      <c r="K16" s="30" t="s">
        <v>370</v>
      </c>
      <c r="L16" s="30" t="s">
        <v>371</v>
      </c>
      <c r="M16" s="41" t="s">
        <v>372</v>
      </c>
      <c r="N16" s="42" t="s">
        <v>373</v>
      </c>
      <c r="O16" s="33" t="s">
        <v>448</v>
      </c>
      <c r="P16" s="367" t="s">
        <v>572</v>
      </c>
    </row>
    <row r="17" spans="10:16" x14ac:dyDescent="0.2">
      <c r="J17" s="33" t="s">
        <v>470</v>
      </c>
      <c r="K17" s="87">
        <f>((('Insumos 2'!J112)*W12)/1)*2</f>
        <v>0</v>
      </c>
      <c r="L17" s="87">
        <v>0</v>
      </c>
      <c r="M17" s="87">
        <v>0</v>
      </c>
      <c r="N17" s="87">
        <v>0</v>
      </c>
      <c r="O17" s="87">
        <v>0</v>
      </c>
      <c r="P17" s="367"/>
    </row>
    <row r="18" spans="10:16" x14ac:dyDescent="0.2">
      <c r="J18" s="33" t="s">
        <v>472</v>
      </c>
      <c r="K18" s="87">
        <v>0</v>
      </c>
      <c r="L18" s="87">
        <v>0</v>
      </c>
      <c r="M18" s="87">
        <v>0</v>
      </c>
      <c r="N18" s="87">
        <v>0</v>
      </c>
      <c r="O18" s="87">
        <v>0</v>
      </c>
      <c r="P18" s="367"/>
    </row>
    <row r="19" spans="10:16" x14ac:dyDescent="0.2">
      <c r="J19" s="33" t="s">
        <v>474</v>
      </c>
      <c r="K19" s="2">
        <v>0</v>
      </c>
      <c r="L19" s="2">
        <v>0</v>
      </c>
      <c r="M19" s="2">
        <v>0</v>
      </c>
      <c r="N19" s="2">
        <v>0</v>
      </c>
      <c r="O19" s="2"/>
      <c r="P19" s="367"/>
    </row>
    <row r="20" spans="10:16" x14ac:dyDescent="0.2">
      <c r="J20" s="33" t="s">
        <v>453</v>
      </c>
      <c r="K20" s="87"/>
      <c r="L20" s="87"/>
      <c r="M20" s="87"/>
      <c r="N20" s="87"/>
      <c r="O20" s="87"/>
      <c r="P20" s="367"/>
    </row>
    <row r="21" spans="10:16" x14ac:dyDescent="0.2">
      <c r="J21" s="33" t="s">
        <v>438</v>
      </c>
      <c r="K21" s="87">
        <f>SUM(K17:K20)</f>
        <v>0</v>
      </c>
      <c r="L21" s="87">
        <f>SUM(L17:L20)</f>
        <v>0</v>
      </c>
      <c r="M21" s="87">
        <f>SUM(M17:M20)</f>
        <v>0</v>
      </c>
      <c r="N21" s="87">
        <f>SUM(N17:N20)</f>
        <v>0</v>
      </c>
      <c r="O21" s="87">
        <f>SUM(O17:O20)</f>
        <v>0</v>
      </c>
      <c r="P21" s="367"/>
    </row>
    <row r="22" spans="10:16" x14ac:dyDescent="0.2">
      <c r="J22" s="33" t="s">
        <v>454</v>
      </c>
      <c r="K22" s="88">
        <f>K21*'Costo Materia Prima'!$I$12</f>
        <v>0</v>
      </c>
      <c r="L22" s="88">
        <f>L21*'Costo Materia Prima'!$I$12</f>
        <v>0</v>
      </c>
      <c r="M22" s="88">
        <f>M21*'Costo Materia Prima'!$I$12</f>
        <v>0</v>
      </c>
      <c r="N22" s="88">
        <f>N21*'Costo Materia Prima'!$I$12</f>
        <v>0</v>
      </c>
      <c r="O22" s="88">
        <f>O21*'Insumos 1'!$G$13</f>
        <v>0</v>
      </c>
    </row>
  </sheetData>
  <mergeCells count="6">
    <mergeCell ref="P3:P7"/>
    <mergeCell ref="P16:P21"/>
    <mergeCell ref="C2:H2"/>
    <mergeCell ref="J2:O2"/>
    <mergeCell ref="J15:O15"/>
    <mergeCell ref="J9:O9"/>
  </mergeCells>
  <pageMargins left="0.7" right="0.7" top="0.75" bottom="0.75" header="0.3" footer="0.3"/>
  <pageSetup orientation="portrait" horizontalDpi="0" verticalDpi="0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DACF0D-C0DB-6F4F-BEAF-772516D6391D}">
  <sheetPr codeName="Hoja31"/>
  <dimension ref="A2:O20"/>
  <sheetViews>
    <sheetView workbookViewId="0">
      <selection activeCell="G31" sqref="G31"/>
    </sheetView>
  </sheetViews>
  <sheetFormatPr baseColWidth="10" defaultColWidth="9.1640625" defaultRowHeight="15" x14ac:dyDescent="0.2"/>
  <cols>
    <col min="1" max="1" width="15.6640625" bestFit="1" customWidth="1"/>
    <col min="2" max="2" width="12.5" customWidth="1"/>
    <col min="3" max="3" width="9.83203125" bestFit="1" customWidth="1"/>
    <col min="4" max="4" width="9.6640625" bestFit="1" customWidth="1"/>
    <col min="7" max="7" width="13" bestFit="1" customWidth="1"/>
    <col min="8" max="8" width="13" customWidth="1"/>
    <col min="10" max="10" width="16.5" bestFit="1" customWidth="1"/>
    <col min="11" max="11" width="8.6640625" bestFit="1" customWidth="1"/>
    <col min="12" max="12" width="16.33203125" bestFit="1" customWidth="1"/>
    <col min="13" max="13" width="13.83203125" bestFit="1" customWidth="1"/>
    <col min="14" max="14" width="18" bestFit="1" customWidth="1"/>
  </cols>
  <sheetData>
    <row r="2" spans="1:15" x14ac:dyDescent="0.2">
      <c r="C2" s="310" t="s">
        <v>444</v>
      </c>
      <c r="D2" s="310"/>
      <c r="E2" s="310"/>
      <c r="F2" s="310"/>
      <c r="G2" s="310"/>
      <c r="H2" s="310"/>
      <c r="J2" s="338" t="s">
        <v>345</v>
      </c>
      <c r="K2" s="338"/>
      <c r="L2" s="338"/>
      <c r="M2" s="338"/>
      <c r="N2" s="338"/>
    </row>
    <row r="3" spans="1:15" x14ac:dyDescent="0.2">
      <c r="A3" s="20" t="s">
        <v>445</v>
      </c>
      <c r="B3" s="20"/>
      <c r="C3" s="20" t="s">
        <v>413</v>
      </c>
      <c r="D3" s="20" t="s">
        <v>375</v>
      </c>
      <c r="E3" s="20" t="s">
        <v>370</v>
      </c>
      <c r="F3" s="20" t="s">
        <v>371</v>
      </c>
      <c r="G3" s="20" t="s">
        <v>372</v>
      </c>
      <c r="H3" s="20" t="s">
        <v>373</v>
      </c>
      <c r="J3" s="40" t="s">
        <v>369</v>
      </c>
      <c r="K3" s="30" t="s">
        <v>371</v>
      </c>
      <c r="L3" s="41" t="s">
        <v>372</v>
      </c>
      <c r="M3" s="42" t="s">
        <v>373</v>
      </c>
      <c r="N3" s="30" t="s">
        <v>448</v>
      </c>
    </row>
    <row r="4" spans="1:15" x14ac:dyDescent="0.2">
      <c r="A4" t="s">
        <v>391</v>
      </c>
      <c r="E4" s="32">
        <f>'Insumos 2'!T123</f>
        <v>0</v>
      </c>
      <c r="F4" s="32">
        <f>'Insumos 2'!U123</f>
        <v>46.068435714496673</v>
      </c>
      <c r="G4" s="32">
        <f>'Insumos 2'!V123</f>
        <v>81.844986854478151</v>
      </c>
      <c r="H4" s="32">
        <f>'Insumos 2'!W123</f>
        <v>104.3891149700829</v>
      </c>
      <c r="J4" s="54" t="s">
        <v>450</v>
      </c>
      <c r="K4" s="43">
        <v>0.25</v>
      </c>
      <c r="L4" s="44">
        <v>0.75</v>
      </c>
      <c r="M4" s="45">
        <v>1.2</v>
      </c>
      <c r="N4" s="43">
        <v>1.96</v>
      </c>
      <c r="O4" s="183" t="s">
        <v>573</v>
      </c>
    </row>
    <row r="5" spans="1:15" x14ac:dyDescent="0.2">
      <c r="E5" s="32"/>
      <c r="F5" s="32"/>
      <c r="G5" s="32"/>
      <c r="H5" s="32"/>
      <c r="J5" s="29" t="s">
        <v>452</v>
      </c>
      <c r="K5" s="60">
        <v>0.18</v>
      </c>
      <c r="L5" s="47">
        <v>0.25</v>
      </c>
      <c r="M5" s="48">
        <v>0.39</v>
      </c>
      <c r="N5" s="55">
        <v>0.7</v>
      </c>
    </row>
    <row r="6" spans="1:15" x14ac:dyDescent="0.2">
      <c r="A6" t="s">
        <v>469</v>
      </c>
      <c r="E6" s="32">
        <v>0</v>
      </c>
      <c r="F6" s="32">
        <f>K8</f>
        <v>39.838010805303746</v>
      </c>
      <c r="G6" s="32">
        <f>L8</f>
        <v>92.646536756520334</v>
      </c>
      <c r="H6" s="32">
        <f>M8</f>
        <v>147.30799344286731</v>
      </c>
      <c r="J6" s="29" t="s">
        <v>453</v>
      </c>
      <c r="K6" s="60"/>
      <c r="L6" s="47"/>
      <c r="M6" s="48"/>
      <c r="N6" s="55"/>
    </row>
    <row r="7" spans="1:15" x14ac:dyDescent="0.2">
      <c r="B7" s="13">
        <f>[2]INSUMOS!$K$14</f>
        <v>1.092475834023773</v>
      </c>
      <c r="E7" s="32"/>
      <c r="F7" s="32"/>
      <c r="G7" s="32"/>
      <c r="H7" s="32"/>
      <c r="J7" s="29" t="s">
        <v>438</v>
      </c>
      <c r="K7" s="60">
        <f>SUM(K4:K6)</f>
        <v>0.43</v>
      </c>
      <c r="L7" s="46">
        <f t="shared" ref="L7:N7" si="0">SUM(L4:L6)</f>
        <v>1</v>
      </c>
      <c r="M7" s="46">
        <f t="shared" si="0"/>
        <v>1.5899999999999999</v>
      </c>
      <c r="N7" s="46">
        <f t="shared" si="0"/>
        <v>2.66</v>
      </c>
    </row>
    <row r="8" spans="1:15" x14ac:dyDescent="0.2">
      <c r="A8" t="s">
        <v>574</v>
      </c>
      <c r="E8" s="32">
        <v>0</v>
      </c>
      <c r="F8" s="32">
        <f>K14</f>
        <v>28.5</v>
      </c>
      <c r="G8" s="32">
        <f>L14</f>
        <v>43.32</v>
      </c>
      <c r="H8" s="32">
        <f>M14</f>
        <v>68.399999999999991</v>
      </c>
      <c r="J8" s="36" t="s">
        <v>454</v>
      </c>
      <c r="K8" s="61">
        <f>K7*'Insumos 1'!$G$13</f>
        <v>39.838010805303746</v>
      </c>
      <c r="L8" s="62">
        <f>L7*'Insumos 1'!$G$13</f>
        <v>92.646536756520334</v>
      </c>
      <c r="M8" s="62">
        <f>M7*'Insumos 1'!$G$13</f>
        <v>147.30799344286731</v>
      </c>
      <c r="N8" s="62">
        <f>N7*'Insumos 1'!$G$13</f>
        <v>246.43978777234409</v>
      </c>
    </row>
    <row r="9" spans="1:15" x14ac:dyDescent="0.2">
      <c r="A9" t="s">
        <v>575</v>
      </c>
      <c r="E9" s="32">
        <v>0</v>
      </c>
      <c r="F9" s="32">
        <f>K20</f>
        <v>5.12</v>
      </c>
      <c r="G9" s="32">
        <f>L20</f>
        <v>7.68</v>
      </c>
      <c r="H9" s="32">
        <f>M20</f>
        <v>10.24</v>
      </c>
      <c r="J9" s="338" t="s">
        <v>576</v>
      </c>
      <c r="K9" s="338"/>
      <c r="L9" s="338"/>
      <c r="M9" s="338"/>
      <c r="N9" s="338"/>
    </row>
    <row r="10" spans="1:15" x14ac:dyDescent="0.2">
      <c r="A10" t="s">
        <v>761</v>
      </c>
      <c r="E10" s="32"/>
      <c r="F10" s="32"/>
      <c r="G10" s="32"/>
      <c r="H10" s="32"/>
      <c r="J10" s="40" t="s">
        <v>369</v>
      </c>
      <c r="K10" s="30" t="s">
        <v>371</v>
      </c>
      <c r="L10" s="41" t="s">
        <v>372</v>
      </c>
      <c r="M10" s="42" t="s">
        <v>373</v>
      </c>
      <c r="N10" s="30" t="s">
        <v>448</v>
      </c>
    </row>
    <row r="11" spans="1:15" ht="16" thickBot="1" x14ac:dyDescent="0.25">
      <c r="A11" s="98" t="s">
        <v>444</v>
      </c>
      <c r="B11" s="98"/>
      <c r="C11" s="99">
        <f>'Insumos 3'!S8</f>
        <v>2.80714</v>
      </c>
      <c r="D11" s="98"/>
      <c r="E11" s="100">
        <v>0</v>
      </c>
      <c r="F11" s="100">
        <f>'Insumos 3'!K8</f>
        <v>13.628489999999999</v>
      </c>
      <c r="G11" s="100">
        <f>'Insumos 3'!G8</f>
        <v>15.598399999999998</v>
      </c>
      <c r="H11" s="100">
        <f>'Insumos 3'!C7</f>
        <v>28.574509999999997</v>
      </c>
      <c r="J11" s="54" t="s">
        <v>457</v>
      </c>
      <c r="K11" s="43">
        <v>0.2</v>
      </c>
      <c r="L11" s="44">
        <v>0.3</v>
      </c>
      <c r="M11" s="45">
        <v>0.45</v>
      </c>
      <c r="N11" s="43">
        <v>0</v>
      </c>
    </row>
    <row r="12" spans="1:15" ht="16" thickTop="1" x14ac:dyDescent="0.2">
      <c r="A12" t="s">
        <v>455</v>
      </c>
      <c r="C12" s="127">
        <f>SUM(C4:C11)+(F12/10)</f>
        <v>16.122633651980042</v>
      </c>
      <c r="D12" s="127">
        <f t="shared" ref="D12:H12" si="1">SUM(D4:D11)</f>
        <v>0</v>
      </c>
      <c r="E12" s="127">
        <f t="shared" si="1"/>
        <v>0</v>
      </c>
      <c r="F12" s="127">
        <f t="shared" si="1"/>
        <v>133.15493651980043</v>
      </c>
      <c r="G12" s="127">
        <f t="shared" si="1"/>
        <v>241.08992361099848</v>
      </c>
      <c r="H12" s="127">
        <f t="shared" si="1"/>
        <v>358.91161841295019</v>
      </c>
      <c r="J12" s="33" t="s">
        <v>458</v>
      </c>
      <c r="K12" s="46">
        <v>0.05</v>
      </c>
      <c r="L12" s="56">
        <v>0.08</v>
      </c>
      <c r="M12" s="56">
        <v>0.15</v>
      </c>
      <c r="N12" s="56">
        <v>0</v>
      </c>
    </row>
    <row r="13" spans="1:15" ht="16" x14ac:dyDescent="0.2">
      <c r="A13" s="368" t="s">
        <v>791</v>
      </c>
      <c r="C13" s="5">
        <f>SUM(C4:C11)+(G13/10)</f>
        <v>26.916132361099848</v>
      </c>
      <c r="D13" s="32">
        <f>D12-D7-D10-D5</f>
        <v>0</v>
      </c>
      <c r="E13" s="32">
        <f>E12-E7-E10-E5</f>
        <v>0</v>
      </c>
      <c r="F13" s="32">
        <f>F12-F7-F10-F5</f>
        <v>133.15493651980043</v>
      </c>
      <c r="G13" s="32">
        <f>G12-G7-G10-G5</f>
        <v>241.08992361099848</v>
      </c>
      <c r="H13" s="32">
        <f>H12-H7-H10-H5</f>
        <v>358.91161841295019</v>
      </c>
      <c r="J13" s="30" t="s">
        <v>188</v>
      </c>
      <c r="K13" s="56">
        <f>SUM(K11:K12)</f>
        <v>0.25</v>
      </c>
      <c r="L13" s="56">
        <f t="shared" ref="L13:N13" si="2">SUM(L11:L12)</f>
        <v>0.38</v>
      </c>
      <c r="M13" s="56">
        <f t="shared" si="2"/>
        <v>0.6</v>
      </c>
      <c r="N13" s="56">
        <f t="shared" si="2"/>
        <v>0</v>
      </c>
    </row>
    <row r="14" spans="1:15" x14ac:dyDescent="0.2">
      <c r="J14" s="30" t="s">
        <v>438</v>
      </c>
      <c r="K14" s="58">
        <f>K13*'Costo Materia Prima'!$I$83</f>
        <v>28.5</v>
      </c>
      <c r="L14" s="58">
        <f>L13*'Costo Materia Prima'!$I$83</f>
        <v>43.32</v>
      </c>
      <c r="M14" s="58">
        <f>M13*'Costo Materia Prima'!$I$83</f>
        <v>68.399999999999991</v>
      </c>
      <c r="N14" s="58">
        <f>N13*'Costo Materia Prima'!$I$83</f>
        <v>0</v>
      </c>
    </row>
    <row r="15" spans="1:15" x14ac:dyDescent="0.2">
      <c r="J15" s="338" t="s">
        <v>575</v>
      </c>
      <c r="K15" s="338"/>
      <c r="L15" s="338"/>
      <c r="M15" s="338"/>
      <c r="N15" s="338"/>
      <c r="O15" s="183" t="s">
        <v>577</v>
      </c>
    </row>
    <row r="16" spans="1:15" x14ac:dyDescent="0.2">
      <c r="J16" s="40" t="s">
        <v>369</v>
      </c>
      <c r="K16" s="30" t="s">
        <v>371</v>
      </c>
      <c r="L16" s="41" t="s">
        <v>372</v>
      </c>
      <c r="M16" s="42" t="s">
        <v>373</v>
      </c>
      <c r="N16" s="30" t="s">
        <v>448</v>
      </c>
    </row>
    <row r="17" spans="10:15" x14ac:dyDescent="0.2">
      <c r="J17" s="54" t="s">
        <v>457</v>
      </c>
      <c r="K17" s="43">
        <v>0.02</v>
      </c>
      <c r="L17" s="44">
        <v>0.03</v>
      </c>
      <c r="M17" s="45">
        <v>0.04</v>
      </c>
      <c r="N17" s="43"/>
    </row>
    <row r="18" spans="10:15" x14ac:dyDescent="0.2">
      <c r="J18" s="33" t="s">
        <v>458</v>
      </c>
      <c r="K18" s="46"/>
      <c r="L18" s="56"/>
      <c r="M18" s="56"/>
      <c r="N18" s="56"/>
    </row>
    <row r="19" spans="10:15" x14ac:dyDescent="0.2">
      <c r="J19" s="30" t="s">
        <v>459</v>
      </c>
      <c r="K19" s="56">
        <f>SUM(K17:K18)</f>
        <v>0.02</v>
      </c>
      <c r="L19" s="56">
        <f>SUM(L17:L18)</f>
        <v>0.03</v>
      </c>
      <c r="M19" s="56">
        <f>SUM(M17:M18)</f>
        <v>0.04</v>
      </c>
      <c r="N19" s="56">
        <f>SUM(N17:N18)</f>
        <v>0</v>
      </c>
    </row>
    <row r="20" spans="10:15" x14ac:dyDescent="0.2">
      <c r="J20" s="30" t="s">
        <v>438</v>
      </c>
      <c r="K20" s="59">
        <f>K19*'Costo Materia Prima'!$I$56</f>
        <v>5.12</v>
      </c>
      <c r="L20" s="59">
        <f>L19*'Costo Materia Prima'!$I$56</f>
        <v>7.68</v>
      </c>
      <c r="M20" s="59">
        <f>M19*'Costo Materia Prima'!$I$56</f>
        <v>10.24</v>
      </c>
      <c r="N20" s="59">
        <f>N19*'Costo Materia Prima'!$I$56</f>
        <v>0</v>
      </c>
      <c r="O20" s="183" t="s">
        <v>578</v>
      </c>
    </row>
  </sheetData>
  <mergeCells count="4">
    <mergeCell ref="C2:H2"/>
    <mergeCell ref="J2:N2"/>
    <mergeCell ref="J9:N9"/>
    <mergeCell ref="J15:N15"/>
  </mergeCells>
  <pageMargins left="0.7" right="0.7" top="0.75" bottom="0.75" header="0.3" footer="0.3"/>
  <pageSetup orientation="portrait" horizontalDpi="0" verticalDpi="0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180BF1-9B79-DF4B-A85B-BFD65C88028E}">
  <sheetPr codeName="Hoja32"/>
  <dimension ref="A2:Z42"/>
  <sheetViews>
    <sheetView workbookViewId="0">
      <selection activeCell="G37" sqref="G37"/>
    </sheetView>
  </sheetViews>
  <sheetFormatPr baseColWidth="10" defaultColWidth="9.1640625" defaultRowHeight="15" x14ac:dyDescent="0.2"/>
  <cols>
    <col min="1" max="1" width="15.6640625" bestFit="1" customWidth="1"/>
    <col min="2" max="2" width="12.5" customWidth="1"/>
    <col min="3" max="3" width="9.83203125" bestFit="1" customWidth="1"/>
    <col min="4" max="4" width="9.6640625" bestFit="1" customWidth="1"/>
    <col min="7" max="7" width="13" bestFit="1" customWidth="1"/>
    <col min="8" max="8" width="13" customWidth="1"/>
    <col min="10" max="10" width="16.5" bestFit="1" customWidth="1"/>
    <col min="11" max="11" width="8.6640625" bestFit="1" customWidth="1"/>
    <col min="12" max="12" width="16.33203125" bestFit="1" customWidth="1"/>
    <col min="13" max="13" width="13.83203125" bestFit="1" customWidth="1"/>
    <col min="14" max="14" width="18" bestFit="1" customWidth="1"/>
    <col min="16" max="16" width="15.33203125" bestFit="1" customWidth="1"/>
    <col min="17" max="19" width="8.83203125" bestFit="1" customWidth="1"/>
    <col min="20" max="20" width="10.5" bestFit="1" customWidth="1"/>
    <col min="25" max="25" width="18.1640625" bestFit="1" customWidth="1"/>
  </cols>
  <sheetData>
    <row r="2" spans="1:26" x14ac:dyDescent="0.2">
      <c r="C2" s="310" t="s">
        <v>444</v>
      </c>
      <c r="D2" s="310"/>
      <c r="E2" s="310"/>
      <c r="F2" s="310"/>
      <c r="G2" s="310"/>
      <c r="H2" s="310"/>
      <c r="J2" s="338" t="s">
        <v>345</v>
      </c>
      <c r="K2" s="338"/>
      <c r="L2" s="338"/>
      <c r="M2" s="338"/>
      <c r="N2" s="338"/>
      <c r="P2" s="339" t="s">
        <v>467</v>
      </c>
      <c r="Q2" s="339"/>
      <c r="R2" s="339"/>
      <c r="S2" s="339"/>
      <c r="T2" s="339"/>
      <c r="U2" s="339"/>
      <c r="W2" t="s">
        <v>467</v>
      </c>
      <c r="X2">
        <f>70/1000</f>
        <v>7.0000000000000007E-2</v>
      </c>
      <c r="Y2" t="s">
        <v>468</v>
      </c>
    </row>
    <row r="3" spans="1:26" x14ac:dyDescent="0.2">
      <c r="A3" s="20" t="s">
        <v>445</v>
      </c>
      <c r="B3" s="20"/>
      <c r="C3" s="20" t="s">
        <v>413</v>
      </c>
      <c r="D3" s="20" t="s">
        <v>375</v>
      </c>
      <c r="E3" s="20" t="s">
        <v>370</v>
      </c>
      <c r="F3" s="20" t="s">
        <v>371</v>
      </c>
      <c r="G3" s="20" t="s">
        <v>372</v>
      </c>
      <c r="H3" s="20" t="s">
        <v>373</v>
      </c>
      <c r="J3" s="40" t="s">
        <v>369</v>
      </c>
      <c r="K3" s="30" t="s">
        <v>371</v>
      </c>
      <c r="L3" s="41" t="s">
        <v>372</v>
      </c>
      <c r="M3" s="42" t="s">
        <v>373</v>
      </c>
      <c r="N3" s="30" t="s">
        <v>448</v>
      </c>
      <c r="P3" s="33" t="s">
        <v>369</v>
      </c>
      <c r="Q3" s="33" t="s">
        <v>371</v>
      </c>
      <c r="R3" s="33" t="s">
        <v>372</v>
      </c>
      <c r="S3" s="33" t="s">
        <v>373</v>
      </c>
      <c r="T3" s="33" t="s">
        <v>448</v>
      </c>
      <c r="U3" s="33" t="s">
        <v>402</v>
      </c>
    </row>
    <row r="4" spans="1:26" x14ac:dyDescent="0.2">
      <c r="A4" t="s">
        <v>390</v>
      </c>
      <c r="E4" s="32">
        <v>0</v>
      </c>
      <c r="F4" s="32">
        <f>'Insumos 2'!U114</f>
        <v>28.528731553526761</v>
      </c>
      <c r="G4" s="32">
        <f>'Insumos 2'!V114</f>
        <v>41.291585143262424</v>
      </c>
      <c r="H4" s="32">
        <f>'Insumos 2'!W114</f>
        <v>72.072584977330763</v>
      </c>
      <c r="J4" s="54" t="s">
        <v>450</v>
      </c>
      <c r="K4" s="43">
        <v>0.25</v>
      </c>
      <c r="L4" s="44">
        <v>0.75</v>
      </c>
      <c r="M4" s="45">
        <v>1.2</v>
      </c>
      <c r="N4" s="43">
        <v>1.96</v>
      </c>
      <c r="P4" s="33" t="s">
        <v>470</v>
      </c>
      <c r="Q4" s="87">
        <f>0.010209*2</f>
        <v>2.0417999999999999E-2</v>
      </c>
      <c r="R4" s="87">
        <f>0.0138*2</f>
        <v>2.76E-2</v>
      </c>
      <c r="S4" s="87">
        <f>((('Insumos 2'!M112)*X8)/1)*2</f>
        <v>7.1871657754010707E-2</v>
      </c>
      <c r="T4" s="87">
        <v>1.96</v>
      </c>
      <c r="U4" s="2">
        <f>((('Insumos 2'!N112)*X8)/1)</f>
        <v>2.8074866310160429E-3</v>
      </c>
      <c r="W4" t="s">
        <v>438</v>
      </c>
      <c r="X4">
        <f>'Insumos 2'!G110</f>
        <v>1.87</v>
      </c>
      <c r="Y4" t="s">
        <v>471</v>
      </c>
    </row>
    <row r="5" spans="1:26" x14ac:dyDescent="0.2">
      <c r="E5" s="32">
        <v>0</v>
      </c>
      <c r="F5" s="32">
        <f>[2]PAN!$L$14*2</f>
        <v>3.0619630599005481</v>
      </c>
      <c r="G5" s="32">
        <f>[2]PAN!$L$13*2</f>
        <v>5.1032717665009137</v>
      </c>
      <c r="H5" s="32">
        <f>[2]PAN!$L$12*2</f>
        <v>7.6549076497513697</v>
      </c>
      <c r="J5" s="29" t="s">
        <v>452</v>
      </c>
      <c r="K5" s="60">
        <v>0.18</v>
      </c>
      <c r="L5" s="47">
        <v>0.25</v>
      </c>
      <c r="M5" s="48">
        <v>0.39</v>
      </c>
      <c r="N5" s="55">
        <v>0.7</v>
      </c>
      <c r="P5" s="33" t="s">
        <v>472</v>
      </c>
      <c r="Q5" s="87">
        <v>1.6E-2</v>
      </c>
      <c r="R5" s="87">
        <v>2.8000000000000001E-2</v>
      </c>
      <c r="S5" s="87">
        <v>2.5000000000000001E-2</v>
      </c>
      <c r="T5" s="87">
        <v>0.7</v>
      </c>
      <c r="U5" s="87">
        <v>0.05</v>
      </c>
      <c r="W5" t="s">
        <v>438</v>
      </c>
      <c r="X5">
        <f>'Insumos 2'!B111</f>
        <v>1</v>
      </c>
      <c r="Y5" t="s">
        <v>473</v>
      </c>
    </row>
    <row r="6" spans="1:26" x14ac:dyDescent="0.2">
      <c r="A6" t="s">
        <v>469</v>
      </c>
      <c r="E6" s="32">
        <v>0</v>
      </c>
      <c r="F6" s="32">
        <f>K8</f>
        <v>39.838010805303746</v>
      </c>
      <c r="G6" s="32">
        <f>L8</f>
        <v>92.646536756520334</v>
      </c>
      <c r="H6" s="32">
        <f>M8</f>
        <v>147.30799344286731</v>
      </c>
      <c r="J6" s="29" t="s">
        <v>453</v>
      </c>
      <c r="K6" s="60"/>
      <c r="L6" s="47"/>
      <c r="M6" s="48"/>
      <c r="N6" s="55"/>
      <c r="P6" s="33" t="s">
        <v>474</v>
      </c>
      <c r="Q6" s="2">
        <v>1.6E-2</v>
      </c>
      <c r="R6" s="2">
        <v>2.8000000000000001E-2</v>
      </c>
      <c r="S6" s="2">
        <v>2.5000000000000001E-2</v>
      </c>
      <c r="T6" s="2"/>
      <c r="U6" s="2"/>
      <c r="X6">
        <f>X5*X2</f>
        <v>7.0000000000000007E-2</v>
      </c>
      <c r="Y6" t="s">
        <v>15</v>
      </c>
    </row>
    <row r="7" spans="1:26" x14ac:dyDescent="0.2">
      <c r="B7" s="13">
        <f>[2]INSUMOS!$K$14</f>
        <v>1.092475834023773</v>
      </c>
      <c r="E7" s="32">
        <v>0</v>
      </c>
      <c r="F7" s="13">
        <f>$B$7*K7</f>
        <v>0.4697646086302224</v>
      </c>
      <c r="G7" s="13">
        <f>$B$7*L7</f>
        <v>1.092475834023773</v>
      </c>
      <c r="H7" s="13">
        <f>$B$7*M7</f>
        <v>1.737036576097799</v>
      </c>
      <c r="J7" s="29" t="s">
        <v>438</v>
      </c>
      <c r="K7" s="60">
        <f>SUM(K4:K6)</f>
        <v>0.43</v>
      </c>
      <c r="L7" s="46">
        <f t="shared" ref="L7:N7" si="0">SUM(L4:L6)</f>
        <v>1</v>
      </c>
      <c r="M7" s="46">
        <f t="shared" si="0"/>
        <v>1.5899999999999999</v>
      </c>
      <c r="N7" s="46">
        <f t="shared" si="0"/>
        <v>2.66</v>
      </c>
      <c r="P7" s="33" t="s">
        <v>453</v>
      </c>
      <c r="Q7" s="87"/>
      <c r="R7" s="87"/>
      <c r="S7" s="87"/>
      <c r="T7" s="87"/>
      <c r="U7" s="2"/>
    </row>
    <row r="8" spans="1:26" x14ac:dyDescent="0.2">
      <c r="A8" t="s">
        <v>188</v>
      </c>
      <c r="E8" s="32">
        <v>0</v>
      </c>
      <c r="F8" s="32">
        <f>K14</f>
        <v>28.5</v>
      </c>
      <c r="G8" s="32">
        <f>L14</f>
        <v>43.32</v>
      </c>
      <c r="H8" s="32">
        <f>M14</f>
        <v>68.399999999999991</v>
      </c>
      <c r="J8" s="36" t="s">
        <v>454</v>
      </c>
      <c r="K8" s="61">
        <f>K7*'Insumos 1'!$G$13</f>
        <v>39.838010805303746</v>
      </c>
      <c r="L8" s="62">
        <f>L7*'Insumos 1'!$G$13</f>
        <v>92.646536756520334</v>
      </c>
      <c r="M8" s="62">
        <f>M7*'Insumos 1'!$G$13</f>
        <v>147.30799344286731</v>
      </c>
      <c r="N8" s="62">
        <f>N7*'Insumos 1'!$G$13</f>
        <v>246.43978777234409</v>
      </c>
      <c r="P8" s="33" t="s">
        <v>438</v>
      </c>
      <c r="Q8" s="87">
        <f>SUM(Q4:Q7)</f>
        <v>5.2417999999999999E-2</v>
      </c>
      <c r="R8" s="87">
        <f>SUM(R4:R7)</f>
        <v>8.3599999999999994E-2</v>
      </c>
      <c r="S8" s="87">
        <f>SUM(S4:S7)</f>
        <v>0.12187165775401071</v>
      </c>
      <c r="T8" s="87">
        <f>SUM(T4:T7)</f>
        <v>2.66</v>
      </c>
      <c r="U8" s="87">
        <f>SUM(U4:U7)</f>
        <v>5.2807486631016046E-2</v>
      </c>
      <c r="X8">
        <f>X6/X4</f>
        <v>3.7433155080213908E-2</v>
      </c>
      <c r="Y8" t="s">
        <v>476</v>
      </c>
    </row>
    <row r="9" spans="1:26" x14ac:dyDescent="0.2">
      <c r="A9" t="s">
        <v>579</v>
      </c>
      <c r="E9" s="32">
        <v>0</v>
      </c>
      <c r="F9" s="32">
        <f>K20</f>
        <v>5.12</v>
      </c>
      <c r="G9" s="32">
        <f>L20</f>
        <v>7.68</v>
      </c>
      <c r="H9" s="32">
        <f>M20</f>
        <v>10.24</v>
      </c>
      <c r="J9" s="338" t="s">
        <v>188</v>
      </c>
      <c r="K9" s="338"/>
      <c r="L9" s="338"/>
      <c r="M9" s="338"/>
      <c r="N9" s="338"/>
      <c r="P9" s="33" t="s">
        <v>454</v>
      </c>
      <c r="Q9" s="88">
        <f>Q8*'Costo Materia Prima'!$I$12</f>
        <v>0</v>
      </c>
      <c r="R9" s="88">
        <f>R8*'Costo Materia Prima'!$I$12</f>
        <v>0</v>
      </c>
      <c r="S9" s="88">
        <f>S8*'Costo Materia Prima'!$I$12</f>
        <v>0</v>
      </c>
      <c r="T9" s="88">
        <f>T8*'Insumos 1'!$G$13</f>
        <v>246.43978777234409</v>
      </c>
      <c r="U9" s="88">
        <f>U8*'Insumos 1'!$G$13</f>
        <v>4.8924307511798846</v>
      </c>
    </row>
    <row r="10" spans="1:26" x14ac:dyDescent="0.2">
      <c r="A10" s="175" t="s">
        <v>761</v>
      </c>
      <c r="E10" s="32"/>
      <c r="F10" s="32"/>
      <c r="G10" s="32"/>
      <c r="H10" s="32"/>
      <c r="J10" s="40" t="s">
        <v>369</v>
      </c>
      <c r="K10" s="30" t="s">
        <v>371</v>
      </c>
      <c r="L10" s="41" t="s">
        <v>372</v>
      </c>
      <c r="M10" s="42" t="s">
        <v>373</v>
      </c>
      <c r="N10" s="30" t="s">
        <v>448</v>
      </c>
    </row>
    <row r="11" spans="1:26" ht="16" thickBot="1" x14ac:dyDescent="0.25">
      <c r="A11" s="98" t="s">
        <v>444</v>
      </c>
      <c r="B11" s="98"/>
      <c r="C11" s="99">
        <f>'Insumos 3'!S8</f>
        <v>2.80714</v>
      </c>
      <c r="D11" s="98"/>
      <c r="E11" s="100">
        <v>0</v>
      </c>
      <c r="F11" s="100">
        <f>'Insumos 3'!K8</f>
        <v>13.628489999999999</v>
      </c>
      <c r="G11" s="100">
        <f>'Insumos 3'!G8</f>
        <v>15.598399999999998</v>
      </c>
      <c r="H11" s="100">
        <f>'Insumos 3'!C7</f>
        <v>28.574509999999997</v>
      </c>
      <c r="J11" s="54" t="s">
        <v>457</v>
      </c>
      <c r="K11" s="43">
        <v>0.2</v>
      </c>
      <c r="L11" s="44">
        <v>0.3</v>
      </c>
      <c r="M11" s="45">
        <v>0.45</v>
      </c>
      <c r="N11" s="43">
        <v>0</v>
      </c>
      <c r="P11" s="339" t="s">
        <v>188</v>
      </c>
      <c r="Q11" s="339"/>
      <c r="R11" s="339"/>
      <c r="S11" s="339"/>
      <c r="T11" s="339"/>
      <c r="U11" s="339"/>
      <c r="W11" t="s">
        <v>598</v>
      </c>
    </row>
    <row r="12" spans="1:26" ht="16" thickTop="1" x14ac:dyDescent="0.2">
      <c r="A12" t="s">
        <v>455</v>
      </c>
      <c r="C12" s="127">
        <f>SUM(C4:C11)+(F12/10)</f>
        <v>14.721836002736129</v>
      </c>
      <c r="D12" s="127">
        <f t="shared" ref="D12:H12" si="1">SUM(D4:D11)</f>
        <v>0</v>
      </c>
      <c r="E12" s="127">
        <f t="shared" si="1"/>
        <v>0</v>
      </c>
      <c r="F12" s="127">
        <f t="shared" si="1"/>
        <v>119.14696002736129</v>
      </c>
      <c r="G12" s="127">
        <f>SUM(G4:G11)</f>
        <v>206.73226950030747</v>
      </c>
      <c r="H12" s="127">
        <f t="shared" si="1"/>
        <v>335.98703264604723</v>
      </c>
      <c r="J12" s="33" t="s">
        <v>458</v>
      </c>
      <c r="K12" s="46">
        <v>0.05</v>
      </c>
      <c r="L12" s="56">
        <v>0.08</v>
      </c>
      <c r="M12" s="56">
        <v>0.15</v>
      </c>
      <c r="N12" s="56">
        <v>0</v>
      </c>
      <c r="P12" s="33" t="s">
        <v>369</v>
      </c>
      <c r="Q12" s="33" t="s">
        <v>371</v>
      </c>
      <c r="R12" s="33" t="s">
        <v>372</v>
      </c>
      <c r="S12" s="33" t="s">
        <v>373</v>
      </c>
      <c r="T12" s="33" t="s">
        <v>448</v>
      </c>
      <c r="U12" s="33" t="s">
        <v>402</v>
      </c>
      <c r="W12">
        <v>1.91</v>
      </c>
      <c r="X12" s="160" t="s">
        <v>15</v>
      </c>
      <c r="Y12">
        <v>0.39</v>
      </c>
      <c r="Z12" t="s">
        <v>15</v>
      </c>
    </row>
    <row r="13" spans="1:26" ht="16" x14ac:dyDescent="0.2">
      <c r="A13" s="368" t="s">
        <v>791</v>
      </c>
      <c r="C13" s="5">
        <f>SUM(C4:C11)+(G13/10)</f>
        <v>22.86079218997828</v>
      </c>
      <c r="D13" s="32">
        <f>D12-D7-D10-D5</f>
        <v>0</v>
      </c>
      <c r="E13" s="32">
        <f>E12-E7-E10-E5</f>
        <v>0</v>
      </c>
      <c r="F13" s="32">
        <f>F12-F7-F10-F5</f>
        <v>115.61523235883051</v>
      </c>
      <c r="G13" s="32">
        <f>G12-G7-G10-G5</f>
        <v>200.5365218997828</v>
      </c>
      <c r="H13" s="32">
        <f>H12-H7-H10-H5</f>
        <v>326.59508842019807</v>
      </c>
      <c r="J13" s="30" t="s">
        <v>188</v>
      </c>
      <c r="K13" s="56">
        <f>SUM(K11:K12)</f>
        <v>0.25</v>
      </c>
      <c r="L13" s="56">
        <f t="shared" ref="L13:N13" si="2">SUM(L11:L12)</f>
        <v>0.38</v>
      </c>
      <c r="M13" s="56">
        <f t="shared" si="2"/>
        <v>0.6</v>
      </c>
      <c r="N13" s="56">
        <f t="shared" si="2"/>
        <v>0</v>
      </c>
      <c r="P13" s="33" t="s">
        <v>457</v>
      </c>
      <c r="Q13" s="87">
        <v>0</v>
      </c>
      <c r="R13" s="87">
        <v>0</v>
      </c>
      <c r="S13" s="87">
        <v>0</v>
      </c>
      <c r="T13" s="87">
        <v>0</v>
      </c>
      <c r="U13" s="2"/>
      <c r="W13" s="184">
        <v>0.05</v>
      </c>
      <c r="X13" t="s">
        <v>15</v>
      </c>
      <c r="Y13" t="s">
        <v>599</v>
      </c>
    </row>
    <row r="14" spans="1:26" x14ac:dyDescent="0.2">
      <c r="J14" s="30" t="s">
        <v>438</v>
      </c>
      <c r="K14" s="58">
        <f>K13*'Costo Materia Prima'!$I$83</f>
        <v>28.5</v>
      </c>
      <c r="L14" s="58">
        <f>L13*'Costo Materia Prima'!$I$83</f>
        <v>43.32</v>
      </c>
      <c r="M14" s="58">
        <f>M13*'Costo Materia Prima'!$I$83</f>
        <v>68.399999999999991</v>
      </c>
      <c r="N14" s="58">
        <f>N13*'Costo Materia Prima'!$I$83</f>
        <v>0</v>
      </c>
      <c r="P14" s="33" t="s">
        <v>458</v>
      </c>
      <c r="Q14" s="87">
        <v>0.13</v>
      </c>
      <c r="R14" s="87">
        <v>0.16</v>
      </c>
      <c r="S14" s="87">
        <v>0.22</v>
      </c>
      <c r="T14" s="87">
        <v>0</v>
      </c>
      <c r="U14" s="2"/>
      <c r="Y14">
        <f>(W13*Y12)/W12</f>
        <v>1.0209424083769635E-2</v>
      </c>
    </row>
    <row r="15" spans="1:26" x14ac:dyDescent="0.2">
      <c r="J15" s="338" t="s">
        <v>579</v>
      </c>
      <c r="K15" s="338"/>
      <c r="L15" s="338"/>
      <c r="M15" s="338"/>
      <c r="N15" s="338"/>
      <c r="P15" s="33" t="s">
        <v>188</v>
      </c>
      <c r="Q15" s="87">
        <f>SUM(Q13:Q14)</f>
        <v>0.13</v>
      </c>
      <c r="R15" s="87">
        <f t="shared" ref="R15:T15" si="3">SUM(R13:R14)</f>
        <v>0.16</v>
      </c>
      <c r="S15" s="87">
        <f t="shared" si="3"/>
        <v>0.22</v>
      </c>
      <c r="T15" s="87">
        <f t="shared" si="3"/>
        <v>0</v>
      </c>
      <c r="U15" s="2"/>
    </row>
    <row r="16" spans="1:26" x14ac:dyDescent="0.2">
      <c r="A16" t="s">
        <v>503</v>
      </c>
      <c r="B16" s="51">
        <v>0.3</v>
      </c>
      <c r="C16" s="32">
        <f>$B$16*C12</f>
        <v>4.416550800820839</v>
      </c>
      <c r="D16" s="32">
        <f>$B$16*D12</f>
        <v>0</v>
      </c>
      <c r="E16" s="32"/>
      <c r="F16" s="32">
        <f>$B$16*F12</f>
        <v>35.744088008208386</v>
      </c>
      <c r="G16" s="32">
        <f>$B$16*G12</f>
        <v>62.019680850092236</v>
      </c>
      <c r="J16" s="40" t="s">
        <v>369</v>
      </c>
      <c r="K16" s="30" t="s">
        <v>371</v>
      </c>
      <c r="L16" s="41" t="s">
        <v>372</v>
      </c>
      <c r="M16" s="42" t="s">
        <v>373</v>
      </c>
      <c r="N16" s="30" t="s">
        <v>448</v>
      </c>
      <c r="P16" s="33" t="s">
        <v>438</v>
      </c>
      <c r="Q16" s="88">
        <f>Q15*'Costo Materia Prima'!$I$83</f>
        <v>14.82</v>
      </c>
      <c r="R16" s="88">
        <f>R15*'Costo Materia Prima'!$I$83</f>
        <v>18.240000000000002</v>
      </c>
      <c r="S16" s="88">
        <f>S15*'Costo Materia Prima'!$I$83</f>
        <v>25.080000000000002</v>
      </c>
      <c r="T16" s="88">
        <f>T15*'Costo Materia Prima'!$I$83</f>
        <v>0</v>
      </c>
      <c r="U16" s="88">
        <f>U15*'Costo Materia Prima'!$I$83</f>
        <v>0</v>
      </c>
    </row>
    <row r="17" spans="1:21" x14ac:dyDescent="0.2">
      <c r="A17" t="s">
        <v>529</v>
      </c>
      <c r="B17" s="51">
        <v>0.05</v>
      </c>
      <c r="C17" s="32">
        <f>$B$17*C12</f>
        <v>0.73609180013680653</v>
      </c>
      <c r="D17" s="32">
        <f>$B$17*D12</f>
        <v>0</v>
      </c>
      <c r="E17" s="32"/>
      <c r="F17" s="32">
        <f>$B$17*F12</f>
        <v>5.9573480013680644</v>
      </c>
      <c r="G17" s="32">
        <f>$B$17*G12</f>
        <v>10.336613475015374</v>
      </c>
      <c r="J17" s="54" t="s">
        <v>457</v>
      </c>
      <c r="K17" s="43">
        <v>0.02</v>
      </c>
      <c r="L17" s="44">
        <v>0.03</v>
      </c>
      <c r="M17" s="45">
        <v>0.04</v>
      </c>
      <c r="N17" s="43"/>
    </row>
    <row r="18" spans="1:21" x14ac:dyDescent="0.2">
      <c r="J18" s="33" t="s">
        <v>458</v>
      </c>
      <c r="K18" s="46"/>
      <c r="L18" s="56"/>
      <c r="M18" s="56"/>
      <c r="N18" s="56"/>
      <c r="P18" s="339" t="s">
        <v>345</v>
      </c>
      <c r="Q18" s="339"/>
      <c r="R18" s="339"/>
      <c r="S18" s="339"/>
      <c r="T18" s="339"/>
      <c r="U18" s="339"/>
    </row>
    <row r="19" spans="1:21" x14ac:dyDescent="0.2">
      <c r="A19" t="s">
        <v>494</v>
      </c>
      <c r="C19" s="32">
        <f>SUM(C12,C16:C17)</f>
        <v>19.874478603693774</v>
      </c>
      <c r="D19" s="32">
        <f>SUM(D12,D16:D17)</f>
        <v>0</v>
      </c>
      <c r="E19" s="32"/>
      <c r="F19" s="32">
        <f>SUM(F12,F16:F17)</f>
        <v>160.84839603693774</v>
      </c>
      <c r="G19" s="32">
        <f>SUM(G12,G16:G17)</f>
        <v>279.08856382541506</v>
      </c>
      <c r="J19" s="30" t="s">
        <v>459</v>
      </c>
      <c r="K19" s="56">
        <f>SUM(K17:K18)</f>
        <v>0.02</v>
      </c>
      <c r="L19" s="56">
        <f>SUM(L17:L18)</f>
        <v>0.03</v>
      </c>
      <c r="M19" s="56">
        <f>SUM(M17:M18)</f>
        <v>0.04</v>
      </c>
      <c r="N19" s="56">
        <f>SUM(N17:N18)</f>
        <v>0</v>
      </c>
      <c r="P19" s="40" t="s">
        <v>369</v>
      </c>
      <c r="Q19" s="33" t="s">
        <v>371</v>
      </c>
      <c r="R19" s="33" t="s">
        <v>372</v>
      </c>
      <c r="S19" s="33" t="s">
        <v>373</v>
      </c>
      <c r="T19" s="30" t="s">
        <v>448</v>
      </c>
      <c r="U19" s="30" t="s">
        <v>402</v>
      </c>
    </row>
    <row r="20" spans="1:21" x14ac:dyDescent="0.2">
      <c r="J20" s="30" t="s">
        <v>438</v>
      </c>
      <c r="K20" s="59">
        <f>K19*'Costo Materia Prima'!$I$56</f>
        <v>5.12</v>
      </c>
      <c r="L20" s="59">
        <f>L19*'Costo Materia Prima'!$I$56</f>
        <v>7.68</v>
      </c>
      <c r="M20" s="59">
        <f>M19*'Costo Materia Prima'!$I$56</f>
        <v>10.24</v>
      </c>
      <c r="N20" s="59">
        <f>N19*'Costo Materia Prima'!$I$56</f>
        <v>0</v>
      </c>
      <c r="P20" s="54" t="s">
        <v>480</v>
      </c>
      <c r="Q20" s="43">
        <v>0.18</v>
      </c>
      <c r="R20" s="44">
        <v>0.245</v>
      </c>
      <c r="S20" s="45">
        <v>0.39</v>
      </c>
      <c r="T20" s="43">
        <v>1.96</v>
      </c>
      <c r="U20" s="84">
        <v>0.05</v>
      </c>
    </row>
    <row r="21" spans="1:21" x14ac:dyDescent="0.2">
      <c r="A21" t="s">
        <v>504</v>
      </c>
      <c r="B21" s="51">
        <v>0.5</v>
      </c>
      <c r="C21" s="32">
        <f>C19/(1-$B$21)</f>
        <v>39.748957207387548</v>
      </c>
      <c r="D21" s="32">
        <f>D19/(1-$B$21)</f>
        <v>0</v>
      </c>
      <c r="E21" s="32"/>
      <c r="F21" s="32">
        <f>F19/(1-$B$21)</f>
        <v>321.69679207387549</v>
      </c>
      <c r="G21" s="32">
        <f>G19/(1-$B$21)</f>
        <v>558.17712765083013</v>
      </c>
      <c r="P21" s="33" t="s">
        <v>481</v>
      </c>
      <c r="Q21" s="87">
        <v>0.16</v>
      </c>
      <c r="R21" s="87">
        <v>0.22500000000000001</v>
      </c>
      <c r="S21" s="87">
        <v>0.39</v>
      </c>
      <c r="T21" s="87">
        <v>0.7</v>
      </c>
      <c r="U21" s="87">
        <v>0</v>
      </c>
    </row>
    <row r="22" spans="1:21" x14ac:dyDescent="0.2">
      <c r="P22" s="33" t="s">
        <v>453</v>
      </c>
      <c r="Q22" s="87"/>
      <c r="R22" s="87"/>
      <c r="S22" s="87"/>
      <c r="T22" s="87"/>
      <c r="U22" s="2"/>
    </row>
    <row r="23" spans="1:21" x14ac:dyDescent="0.2">
      <c r="A23" s="185" t="s">
        <v>580</v>
      </c>
      <c r="B23" s="185"/>
      <c r="C23" s="185"/>
      <c r="D23" s="185"/>
      <c r="E23" s="186"/>
      <c r="F23" s="186">
        <f>F4+Q9+Q16+F11+Q24+Q28</f>
        <v>101.68704405074368</v>
      </c>
      <c r="G23" s="186">
        <f>G4+R9+R16+G11+R24+R28</f>
        <v>131.88385741882698</v>
      </c>
      <c r="P23" s="33" t="s">
        <v>438</v>
      </c>
      <c r="Q23" s="87">
        <f>SUM(Q20:Q22)</f>
        <v>0.33999999999999997</v>
      </c>
      <c r="R23" s="87">
        <f t="shared" ref="R23:U23" si="4">SUM(R20:R22)</f>
        <v>0.47</v>
      </c>
      <c r="S23" s="87">
        <f t="shared" si="4"/>
        <v>0.78</v>
      </c>
      <c r="T23" s="87">
        <f t="shared" si="4"/>
        <v>2.66</v>
      </c>
      <c r="U23" s="87">
        <f t="shared" si="4"/>
        <v>0.05</v>
      </c>
    </row>
    <row r="24" spans="1:21" x14ac:dyDescent="0.2">
      <c r="A24" s="187" t="s">
        <v>503</v>
      </c>
      <c r="B24" s="188">
        <v>0.3</v>
      </c>
      <c r="C24" s="189">
        <f>$B$24*C23</f>
        <v>0</v>
      </c>
      <c r="D24" s="189">
        <f>$B$16*D23</f>
        <v>0</v>
      </c>
      <c r="E24" s="189"/>
      <c r="F24" s="189">
        <f>$B$24*F23</f>
        <v>30.506113215223102</v>
      </c>
      <c r="G24" s="189">
        <f>$B$24*G23</f>
        <v>39.565157225648093</v>
      </c>
      <c r="P24" s="33" t="s">
        <v>454</v>
      </c>
      <c r="Q24" s="88">
        <f>Q23*'Insumos 1'!$G$13</f>
        <v>31.499822497216911</v>
      </c>
      <c r="R24" s="88">
        <f>R23*'Insumos 1'!$G$13</f>
        <v>43.543872275564553</v>
      </c>
      <c r="S24" s="88">
        <f>S23*'Insumos 1'!$G$13</f>
        <v>72.264298670085864</v>
      </c>
      <c r="T24" s="88">
        <f>T23*'Insumos 1'!$G$13</f>
        <v>246.43978777234409</v>
      </c>
      <c r="U24" s="88">
        <f>U23*'Insumos 1'!$G$13</f>
        <v>4.6323268378260165</v>
      </c>
    </row>
    <row r="25" spans="1:21" x14ac:dyDescent="0.2">
      <c r="A25" s="187" t="s">
        <v>529</v>
      </c>
      <c r="B25" s="188">
        <v>0.05</v>
      </c>
      <c r="C25" s="189">
        <f>$B$25*C23</f>
        <v>0</v>
      </c>
      <c r="D25" s="189">
        <f>$B$25*D23</f>
        <v>0</v>
      </c>
      <c r="E25" s="189"/>
      <c r="F25" s="189">
        <f>$B$25*F23</f>
        <v>5.0843522025371843</v>
      </c>
      <c r="G25" s="189">
        <f>$B$25*G23</f>
        <v>6.5941928709413489</v>
      </c>
    </row>
    <row r="26" spans="1:21" x14ac:dyDescent="0.2">
      <c r="A26" s="187" t="s">
        <v>502</v>
      </c>
      <c r="B26" s="187"/>
      <c r="C26" s="190">
        <f>SUM(C23:C25)</f>
        <v>0</v>
      </c>
      <c r="D26" s="190">
        <f t="shared" ref="D26:G26" si="5">SUM(D23:D25)</f>
        <v>0</v>
      </c>
      <c r="E26" s="190"/>
      <c r="F26" s="190">
        <f>SUM(F23:F25)</f>
        <v>137.27750946850398</v>
      </c>
      <c r="G26" s="190">
        <f t="shared" si="5"/>
        <v>178.04320751541644</v>
      </c>
      <c r="P26" s="339" t="s">
        <v>345</v>
      </c>
      <c r="Q26" s="339"/>
      <c r="R26" s="339"/>
      <c r="S26" s="339"/>
      <c r="T26" s="339"/>
      <c r="U26" s="339"/>
    </row>
    <row r="27" spans="1:21" x14ac:dyDescent="0.2">
      <c r="A27" s="187" t="s">
        <v>504</v>
      </c>
      <c r="B27" s="188">
        <v>0.5</v>
      </c>
      <c r="C27" s="189">
        <f>C26/(1-$B$27)</f>
        <v>0</v>
      </c>
      <c r="D27" s="189">
        <f>D26/(1-$B$27)</f>
        <v>0</v>
      </c>
      <c r="E27" s="189"/>
      <c r="F27" s="189">
        <f>F26/(1-$B$27)</f>
        <v>274.55501893700796</v>
      </c>
      <c r="G27" s="189">
        <f>G26/(1-$B$27)</f>
        <v>356.08641503083288</v>
      </c>
      <c r="P27" s="33" t="s">
        <v>369</v>
      </c>
      <c r="Q27" s="33" t="s">
        <v>371</v>
      </c>
      <c r="R27" s="33" t="s">
        <v>372</v>
      </c>
      <c r="S27" s="33" t="s">
        <v>373</v>
      </c>
      <c r="T27" s="33" t="s">
        <v>448</v>
      </c>
      <c r="U27" s="33" t="s">
        <v>402</v>
      </c>
    </row>
    <row r="28" spans="1:21" x14ac:dyDescent="0.2">
      <c r="A28" s="187"/>
      <c r="B28" s="187"/>
      <c r="C28" s="187"/>
      <c r="D28" s="187"/>
      <c r="E28" s="187"/>
      <c r="F28" s="187"/>
      <c r="G28" s="187"/>
      <c r="P28" s="33" t="s">
        <v>601</v>
      </c>
      <c r="Q28" s="28">
        <v>13.21</v>
      </c>
      <c r="R28" s="28">
        <v>13.21</v>
      </c>
      <c r="S28" s="2"/>
      <c r="T28" s="2"/>
      <c r="U28" s="2"/>
    </row>
    <row r="29" spans="1:21" x14ac:dyDescent="0.2">
      <c r="A29" s="185" t="s">
        <v>526</v>
      </c>
      <c r="B29" s="185"/>
      <c r="C29" s="185"/>
      <c r="D29" s="185"/>
      <c r="E29" s="185"/>
      <c r="F29" s="192">
        <v>340</v>
      </c>
      <c r="G29" s="192">
        <v>460</v>
      </c>
    </row>
    <row r="30" spans="1:21" x14ac:dyDescent="0.2">
      <c r="A30" s="185" t="s">
        <v>600</v>
      </c>
      <c r="B30" s="185"/>
      <c r="C30" s="185"/>
      <c r="D30" s="185"/>
      <c r="E30" s="185"/>
      <c r="F30" s="191">
        <f>F23/F29</f>
        <v>0.29907954132571668</v>
      </c>
      <c r="G30" s="191">
        <f>G23/G29</f>
        <v>0.28670403786701515</v>
      </c>
    </row>
    <row r="31" spans="1:21" x14ac:dyDescent="0.2">
      <c r="H31" s="32"/>
    </row>
    <row r="32" spans="1:21" x14ac:dyDescent="0.2">
      <c r="H32" s="32"/>
    </row>
    <row r="34" spans="8:8" x14ac:dyDescent="0.2">
      <c r="H34" s="32"/>
    </row>
    <row r="36" spans="8:8" x14ac:dyDescent="0.2">
      <c r="H36" s="32"/>
    </row>
    <row r="38" spans="8:8" x14ac:dyDescent="0.2">
      <c r="H38" s="32"/>
    </row>
    <row r="39" spans="8:8" x14ac:dyDescent="0.2">
      <c r="H39" s="32"/>
    </row>
    <row r="40" spans="8:8" x14ac:dyDescent="0.2">
      <c r="H40" s="32"/>
    </row>
    <row r="41" spans="8:8" x14ac:dyDescent="0.2">
      <c r="H41" s="5"/>
    </row>
    <row r="42" spans="8:8" x14ac:dyDescent="0.2">
      <c r="H42" s="32"/>
    </row>
  </sheetData>
  <mergeCells count="8">
    <mergeCell ref="P26:U26"/>
    <mergeCell ref="P18:U18"/>
    <mergeCell ref="C2:H2"/>
    <mergeCell ref="J2:N2"/>
    <mergeCell ref="P2:U2"/>
    <mergeCell ref="J9:N9"/>
    <mergeCell ref="P11:U11"/>
    <mergeCell ref="J15:N15"/>
  </mergeCells>
  <pageMargins left="0.7" right="0.7" top="0.75" bottom="0.75" header="0.3" footer="0.3"/>
  <pageSetup orientation="portrait" horizontalDpi="0" verticalDpi="0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9611A6-EB51-4B06-80E8-C9D07E9BA423}">
  <sheetPr codeName="Hoja18"/>
  <dimension ref="A2:Y40"/>
  <sheetViews>
    <sheetView zoomScale="156" workbookViewId="0">
      <selection activeCell="H32" sqref="H32"/>
    </sheetView>
  </sheetViews>
  <sheetFormatPr baseColWidth="10" defaultColWidth="9.1640625" defaultRowHeight="15" x14ac:dyDescent="0.2"/>
  <cols>
    <col min="1" max="1" width="15.6640625" bestFit="1" customWidth="1"/>
    <col min="2" max="2" width="12.5" customWidth="1"/>
    <col min="3" max="3" width="9.83203125" bestFit="1" customWidth="1"/>
    <col min="4" max="4" width="9.6640625" bestFit="1" customWidth="1"/>
    <col min="7" max="7" width="13" bestFit="1" customWidth="1"/>
    <col min="8" max="8" width="13" customWidth="1"/>
    <col min="10" max="10" width="16.5" bestFit="1" customWidth="1"/>
    <col min="11" max="11" width="8.6640625" bestFit="1" customWidth="1"/>
    <col min="12" max="12" width="16.33203125" bestFit="1" customWidth="1"/>
    <col min="13" max="13" width="13.83203125" bestFit="1" customWidth="1"/>
    <col min="14" max="14" width="18" bestFit="1" customWidth="1"/>
    <col min="16" max="16" width="15.33203125" bestFit="1" customWidth="1"/>
    <col min="17" max="19" width="8.83203125" bestFit="1" customWidth="1"/>
    <col min="20" max="20" width="10.5" bestFit="1" customWidth="1"/>
    <col min="25" max="25" width="18.1640625" bestFit="1" customWidth="1"/>
  </cols>
  <sheetData>
    <row r="2" spans="1:25" x14ac:dyDescent="0.2">
      <c r="C2" s="310" t="s">
        <v>444</v>
      </c>
      <c r="D2" s="310"/>
      <c r="E2" s="310"/>
      <c r="F2" s="310"/>
      <c r="G2" s="310"/>
      <c r="H2" s="310"/>
      <c r="J2" s="338" t="s">
        <v>345</v>
      </c>
      <c r="K2" s="338"/>
      <c r="L2" s="338"/>
      <c r="M2" s="338"/>
      <c r="N2" s="338"/>
      <c r="P2" s="339" t="s">
        <v>467</v>
      </c>
      <c r="Q2" s="339"/>
      <c r="R2" s="339"/>
      <c r="S2" s="339"/>
      <c r="T2" s="339"/>
      <c r="U2" s="339"/>
      <c r="W2" t="s">
        <v>467</v>
      </c>
      <c r="X2">
        <f>70/1000</f>
        <v>7.0000000000000007E-2</v>
      </c>
      <c r="Y2" t="s">
        <v>468</v>
      </c>
    </row>
    <row r="3" spans="1:25" x14ac:dyDescent="0.2">
      <c r="A3" s="20" t="s">
        <v>445</v>
      </c>
      <c r="B3" s="20"/>
      <c r="C3" s="20" t="s">
        <v>413</v>
      </c>
      <c r="D3" s="20" t="s">
        <v>375</v>
      </c>
      <c r="E3" s="20" t="s">
        <v>370</v>
      </c>
      <c r="F3" s="20" t="s">
        <v>371</v>
      </c>
      <c r="G3" s="20" t="s">
        <v>372</v>
      </c>
      <c r="H3" s="20" t="s">
        <v>373</v>
      </c>
      <c r="J3" s="40" t="s">
        <v>369</v>
      </c>
      <c r="K3" s="30" t="s">
        <v>371</v>
      </c>
      <c r="L3" s="41" t="s">
        <v>372</v>
      </c>
      <c r="M3" s="42" t="s">
        <v>373</v>
      </c>
      <c r="N3" s="30" t="s">
        <v>448</v>
      </c>
      <c r="P3" s="33" t="s">
        <v>369</v>
      </c>
      <c r="Q3" s="33" t="s">
        <v>370</v>
      </c>
      <c r="R3" s="33" t="s">
        <v>371</v>
      </c>
      <c r="S3" s="33" t="s">
        <v>373</v>
      </c>
      <c r="T3" s="33" t="s">
        <v>448</v>
      </c>
      <c r="U3" s="33" t="s">
        <v>402</v>
      </c>
    </row>
    <row r="4" spans="1:25" x14ac:dyDescent="0.2">
      <c r="A4" t="s">
        <v>390</v>
      </c>
      <c r="E4" s="32">
        <v>0</v>
      </c>
      <c r="F4" s="32">
        <f>'Insumos 2'!U114</f>
        <v>28.528731553526761</v>
      </c>
      <c r="G4" s="32">
        <f>'Insumos 2'!V114</f>
        <v>41.291585143262424</v>
      </c>
      <c r="H4" s="32">
        <f>'Insumos 2'!W114</f>
        <v>72.072584977330763</v>
      </c>
      <c r="J4" s="54" t="s">
        <v>450</v>
      </c>
      <c r="K4" s="43">
        <v>0.45</v>
      </c>
      <c r="L4" s="44">
        <v>0.65</v>
      </c>
      <c r="M4" s="45">
        <v>1.2</v>
      </c>
      <c r="N4" s="43">
        <v>1.96</v>
      </c>
      <c r="P4" s="33" t="s">
        <v>470</v>
      </c>
      <c r="Q4" s="87">
        <f>((('Insumos 2'!K112)*X8)/1)*2</f>
        <v>2.8449197860962571E-2</v>
      </c>
      <c r="R4" s="87">
        <f>((('Insumos 2'!L112)*X8)/1)*2</f>
        <v>4.11764705882353E-2</v>
      </c>
      <c r="S4" s="87">
        <f>((('Insumos 2'!M112)*X8)/1)*2</f>
        <v>7.1871657754010707E-2</v>
      </c>
      <c r="T4" s="87">
        <v>1.96</v>
      </c>
      <c r="U4" s="2">
        <f>((('Insumos 2'!N112)*X8)/1)</f>
        <v>2.8074866310160429E-3</v>
      </c>
      <c r="W4" t="s">
        <v>438</v>
      </c>
      <c r="X4">
        <f>'Insumos 2'!G110</f>
        <v>1.87</v>
      </c>
      <c r="Y4" t="s">
        <v>471</v>
      </c>
    </row>
    <row r="5" spans="1:25" x14ac:dyDescent="0.2">
      <c r="E5" s="32">
        <v>0</v>
      </c>
      <c r="F5" s="32">
        <f>[2]PAN!$L$14*2</f>
        <v>3.0619630599005481</v>
      </c>
      <c r="G5" s="32">
        <f>[2]PAN!$L$13*2</f>
        <v>5.1032717665009137</v>
      </c>
      <c r="H5" s="32">
        <f>[2]PAN!$L$12*2</f>
        <v>7.6549076497513697</v>
      </c>
      <c r="J5" s="29" t="s">
        <v>452</v>
      </c>
      <c r="K5" s="60">
        <v>0.18</v>
      </c>
      <c r="L5" s="47">
        <v>0.25</v>
      </c>
      <c r="M5" s="48">
        <v>0.39</v>
      </c>
      <c r="N5" s="55">
        <v>0.7</v>
      </c>
      <c r="P5" s="33" t="s">
        <v>472</v>
      </c>
      <c r="Q5" s="87">
        <v>0.01</v>
      </c>
      <c r="R5" s="87">
        <v>0.01</v>
      </c>
      <c r="S5" s="87">
        <v>2.5000000000000001E-2</v>
      </c>
      <c r="T5" s="87">
        <v>0.7</v>
      </c>
      <c r="U5" s="87">
        <v>0.05</v>
      </c>
      <c r="W5" t="s">
        <v>438</v>
      </c>
      <c r="X5">
        <f>'Insumos 2'!B111</f>
        <v>1</v>
      </c>
      <c r="Y5" t="s">
        <v>473</v>
      </c>
    </row>
    <row r="6" spans="1:25" x14ac:dyDescent="0.2">
      <c r="A6" t="s">
        <v>469</v>
      </c>
      <c r="E6" s="32">
        <v>0</v>
      </c>
      <c r="F6" s="32">
        <f>K8</f>
        <v>71.337833302520664</v>
      </c>
      <c r="G6" s="32">
        <f>L8</f>
        <v>99.131794329476762</v>
      </c>
      <c r="H6" s="32">
        <f>M8</f>
        <v>165.83730079417137</v>
      </c>
      <c r="J6" s="29" t="s">
        <v>453</v>
      </c>
      <c r="K6" s="60">
        <v>0.14000000000000001</v>
      </c>
      <c r="L6" s="47">
        <v>0.17</v>
      </c>
      <c r="M6" s="48">
        <v>0.2</v>
      </c>
      <c r="N6" s="55">
        <v>0</v>
      </c>
      <c r="P6" s="33" t="s">
        <v>474</v>
      </c>
      <c r="Q6" s="2">
        <v>0.01</v>
      </c>
      <c r="R6" s="2">
        <v>0.01</v>
      </c>
      <c r="S6" s="2">
        <v>2.5000000000000001E-2</v>
      </c>
      <c r="T6" s="2"/>
      <c r="U6" s="2"/>
      <c r="X6">
        <f>X5*X2</f>
        <v>7.0000000000000007E-2</v>
      </c>
      <c r="Y6" t="s">
        <v>15</v>
      </c>
    </row>
    <row r="7" spans="1:25" x14ac:dyDescent="0.2">
      <c r="B7" s="13">
        <f>[2]INSUMOS!$K$14</f>
        <v>1.092475834023773</v>
      </c>
      <c r="E7" s="32">
        <v>0</v>
      </c>
      <c r="F7" s="13">
        <f>$B$7*K7</f>
        <v>0.84120639219830529</v>
      </c>
      <c r="G7" s="13">
        <f>$B$7*L7</f>
        <v>1.1689491424054372</v>
      </c>
      <c r="H7" s="13">
        <f>$B$7*M7</f>
        <v>1.9555317429025536</v>
      </c>
      <c r="J7" s="29" t="s">
        <v>438</v>
      </c>
      <c r="K7" s="60">
        <f>SUM(K4:K6)</f>
        <v>0.77</v>
      </c>
      <c r="L7" s="46">
        <f t="shared" ref="L7:N7" si="0">SUM(L4:L6)</f>
        <v>1.07</v>
      </c>
      <c r="M7" s="46">
        <f t="shared" si="0"/>
        <v>1.7899999999999998</v>
      </c>
      <c r="N7" s="46">
        <f t="shared" si="0"/>
        <v>2.66</v>
      </c>
      <c r="P7" s="33" t="s">
        <v>453</v>
      </c>
      <c r="Q7" s="87"/>
      <c r="R7" s="87"/>
      <c r="S7" s="87"/>
      <c r="T7" s="87"/>
      <c r="U7" s="2"/>
    </row>
    <row r="8" spans="1:25" x14ac:dyDescent="0.2">
      <c r="A8" t="s">
        <v>188</v>
      </c>
      <c r="E8" s="32">
        <v>0</v>
      </c>
      <c r="F8" s="32">
        <f>K14</f>
        <v>18.240000000000002</v>
      </c>
      <c r="G8" s="32">
        <f>L14</f>
        <v>29.64</v>
      </c>
      <c r="H8" s="32">
        <f>M14</f>
        <v>37.619999999999997</v>
      </c>
      <c r="J8" s="36" t="s">
        <v>454</v>
      </c>
      <c r="K8" s="61">
        <f>K7*'Insumos 1'!$G$13</f>
        <v>71.337833302520664</v>
      </c>
      <c r="L8" s="62">
        <f>L7*'Insumos 1'!$G$13</f>
        <v>99.131794329476762</v>
      </c>
      <c r="M8" s="62">
        <f>M7*'Insumos 1'!$G$13</f>
        <v>165.83730079417137</v>
      </c>
      <c r="N8" s="62">
        <f>N7*'Insumos 1'!$G$13</f>
        <v>246.43978777234409</v>
      </c>
      <c r="P8" s="33" t="s">
        <v>438</v>
      </c>
      <c r="Q8" s="87">
        <f>SUM(Q4:Q7)</f>
        <v>4.8449197860962571E-2</v>
      </c>
      <c r="R8" s="87">
        <f>SUM(R4:R7)</f>
        <v>6.1176470588235304E-2</v>
      </c>
      <c r="S8" s="87">
        <f>SUM(S4:S7)</f>
        <v>0.12187165775401071</v>
      </c>
      <c r="T8" s="87">
        <f>SUM(T4:T7)</f>
        <v>2.66</v>
      </c>
      <c r="U8" s="87">
        <f>SUM(U4:U7)</f>
        <v>5.2807486631016046E-2</v>
      </c>
      <c r="X8">
        <f>X6/X4</f>
        <v>3.7433155080213908E-2</v>
      </c>
      <c r="Y8" t="s">
        <v>476</v>
      </c>
    </row>
    <row r="9" spans="1:25" x14ac:dyDescent="0.2">
      <c r="A9" t="s">
        <v>579</v>
      </c>
      <c r="E9" s="32">
        <v>0</v>
      </c>
      <c r="F9" s="32">
        <f>K20</f>
        <v>5.12</v>
      </c>
      <c r="G9" s="32">
        <f>L20</f>
        <v>7.68</v>
      </c>
      <c r="H9" s="32">
        <f>M20</f>
        <v>10.24</v>
      </c>
      <c r="J9" s="338" t="s">
        <v>188</v>
      </c>
      <c r="K9" s="338"/>
      <c r="L9" s="338"/>
      <c r="M9" s="338"/>
      <c r="N9" s="338"/>
      <c r="P9" s="33" t="s">
        <v>454</v>
      </c>
      <c r="Q9" s="88">
        <f>Q8*'Costo Materia Prima'!$I$12</f>
        <v>0</v>
      </c>
      <c r="R9" s="88">
        <f>R8*'Costo Materia Prima'!$I$12</f>
        <v>0</v>
      </c>
      <c r="S9" s="88">
        <f>S8*'Costo Materia Prima'!$I$12</f>
        <v>0</v>
      </c>
      <c r="T9" s="88">
        <f>T8*'Insumos 1'!$G$13</f>
        <v>246.43978777234409</v>
      </c>
      <c r="U9" s="88">
        <f>U8*'Insumos 1'!$G$13</f>
        <v>4.8924307511798846</v>
      </c>
    </row>
    <row r="10" spans="1:25" x14ac:dyDescent="0.2">
      <c r="A10" t="s">
        <v>761</v>
      </c>
      <c r="E10" s="32">
        <v>0</v>
      </c>
      <c r="F10" s="13">
        <f>'[2]ARMADO- EMBETUNADO'!$G$9</f>
        <v>6.0976751501122317</v>
      </c>
      <c r="G10" s="13">
        <f>'[2]ARMADO- EMBETUNADO'!$G$9</f>
        <v>6.0976751501122317</v>
      </c>
      <c r="H10" s="13">
        <f>'[2]ARMADO- EMBETUNADO'!$G$9</f>
        <v>6.0976751501122317</v>
      </c>
      <c r="J10" s="40" t="s">
        <v>369</v>
      </c>
      <c r="K10" s="30" t="s">
        <v>371</v>
      </c>
      <c r="L10" s="41" t="s">
        <v>372</v>
      </c>
      <c r="M10" s="42" t="s">
        <v>373</v>
      </c>
      <c r="N10" s="30" t="s">
        <v>448</v>
      </c>
    </row>
    <row r="11" spans="1:25" ht="16" thickBot="1" x14ac:dyDescent="0.25">
      <c r="A11" s="98" t="s">
        <v>444</v>
      </c>
      <c r="B11" s="98"/>
      <c r="C11" s="99">
        <f>'Insumos 3'!S8</f>
        <v>2.80714</v>
      </c>
      <c r="D11" s="98"/>
      <c r="E11" s="100">
        <v>0</v>
      </c>
      <c r="F11" s="100">
        <f>'Insumos 3'!K8</f>
        <v>13.628489999999999</v>
      </c>
      <c r="G11" s="100">
        <f>'Insumos 3'!G8</f>
        <v>15.598399999999998</v>
      </c>
      <c r="H11" s="100">
        <f>'Insumos 3'!C7</f>
        <v>28.574509999999997</v>
      </c>
      <c r="J11" s="54" t="s">
        <v>457</v>
      </c>
      <c r="K11" s="43">
        <v>0.06</v>
      </c>
      <c r="L11" s="44">
        <v>0.09</v>
      </c>
      <c r="M11" s="45">
        <v>0.12</v>
      </c>
      <c r="N11" s="43">
        <v>0</v>
      </c>
      <c r="P11" s="339" t="s">
        <v>188</v>
      </c>
      <c r="Q11" s="339"/>
      <c r="R11" s="339"/>
      <c r="S11" s="339"/>
      <c r="T11" s="339"/>
      <c r="U11" s="339"/>
    </row>
    <row r="12" spans="1:25" ht="16" thickTop="1" x14ac:dyDescent="0.2">
      <c r="A12" t="s">
        <v>455</v>
      </c>
      <c r="C12" s="127">
        <f>SUM(C4:C11)+(F12/10)</f>
        <v>17.49272994582585</v>
      </c>
      <c r="D12" s="127">
        <f>SUM(D4:D11)</f>
        <v>0</v>
      </c>
      <c r="E12" s="127">
        <f>SUM(E4:E11)</f>
        <v>0</v>
      </c>
      <c r="F12" s="127">
        <f>SUM(F4:F11)</f>
        <v>146.85589945825851</v>
      </c>
      <c r="G12" s="127">
        <f>SUM(G4:G11)</f>
        <v>205.71167553175775</v>
      </c>
      <c r="H12" s="127">
        <f>SUM(H4:H11)</f>
        <v>330.05251031426832</v>
      </c>
      <c r="J12" s="33" t="s">
        <v>458</v>
      </c>
      <c r="K12" s="46">
        <v>0.1</v>
      </c>
      <c r="L12" s="56">
        <v>0.17</v>
      </c>
      <c r="M12" s="56">
        <v>0.21</v>
      </c>
      <c r="N12" s="56">
        <v>0</v>
      </c>
      <c r="P12" s="33" t="s">
        <v>369</v>
      </c>
      <c r="Q12" s="33" t="s">
        <v>370</v>
      </c>
      <c r="R12" s="33" t="s">
        <v>371</v>
      </c>
      <c r="S12" s="33" t="s">
        <v>373</v>
      </c>
      <c r="T12" s="33" t="s">
        <v>448</v>
      </c>
      <c r="U12" s="33" t="s">
        <v>402</v>
      </c>
    </row>
    <row r="13" spans="1:25" ht="16" x14ac:dyDescent="0.2">
      <c r="A13" s="368" t="s">
        <v>791</v>
      </c>
      <c r="C13" s="5">
        <f>SUM(C4:C11)+(G13/10)</f>
        <v>22.141317947273919</v>
      </c>
      <c r="D13" s="32">
        <f>D12-D7-D10-D5</f>
        <v>0</v>
      </c>
      <c r="E13" s="32">
        <f>E12-E7-E10-E5</f>
        <v>0</v>
      </c>
      <c r="F13" s="32">
        <f>F12-F7-F10-F5</f>
        <v>136.85505485604745</v>
      </c>
      <c r="G13" s="32">
        <f>G12-G7-G10-G5</f>
        <v>193.34177947273918</v>
      </c>
      <c r="H13" s="32">
        <f>H12-H7-H10-H5</f>
        <v>314.34439577150215</v>
      </c>
      <c r="J13" s="30" t="s">
        <v>188</v>
      </c>
      <c r="K13" s="56">
        <f>SUM(K11:K12)</f>
        <v>0.16</v>
      </c>
      <c r="L13" s="56">
        <f t="shared" ref="L13:N13" si="1">SUM(L11:L12)</f>
        <v>0.26</v>
      </c>
      <c r="M13" s="56">
        <f t="shared" si="1"/>
        <v>0.32999999999999996</v>
      </c>
      <c r="N13" s="56">
        <f t="shared" si="1"/>
        <v>0</v>
      </c>
      <c r="P13" s="33" t="s">
        <v>457</v>
      </c>
      <c r="Q13" s="87">
        <v>0</v>
      </c>
      <c r="R13" s="87">
        <v>0</v>
      </c>
      <c r="S13" s="87">
        <v>0</v>
      </c>
      <c r="T13" s="87">
        <v>0</v>
      </c>
      <c r="U13" s="2"/>
    </row>
    <row r="14" spans="1:25" x14ac:dyDescent="0.2">
      <c r="J14" s="30" t="s">
        <v>438</v>
      </c>
      <c r="K14" s="58">
        <f>K13*'Costo Materia Prima'!$I$83</f>
        <v>18.240000000000002</v>
      </c>
      <c r="L14" s="58">
        <f>L13*'Costo Materia Prima'!$I$83</f>
        <v>29.64</v>
      </c>
      <c r="M14" s="58">
        <f>M13*'Costo Materia Prima'!$I$83</f>
        <v>37.619999999999997</v>
      </c>
      <c r="N14" s="58">
        <f>N13*'Costo Materia Prima'!$I$83</f>
        <v>0</v>
      </c>
      <c r="P14" s="33" t="s">
        <v>458</v>
      </c>
      <c r="Q14" s="87">
        <v>0.14000000000000001</v>
      </c>
      <c r="R14" s="87">
        <v>0.16</v>
      </c>
      <c r="S14" s="87">
        <v>0.22</v>
      </c>
      <c r="T14" s="87">
        <v>0</v>
      </c>
      <c r="U14" s="2"/>
    </row>
    <row r="15" spans="1:25" x14ac:dyDescent="0.2">
      <c r="J15" s="338" t="s">
        <v>579</v>
      </c>
      <c r="K15" s="338"/>
      <c r="L15" s="338"/>
      <c r="M15" s="338"/>
      <c r="N15" s="338"/>
      <c r="P15" s="33" t="s">
        <v>188</v>
      </c>
      <c r="Q15" s="87">
        <f>SUM(Q13:Q14)</f>
        <v>0.14000000000000001</v>
      </c>
      <c r="R15" s="87">
        <f t="shared" ref="R15:T15" si="2">SUM(R13:R14)</f>
        <v>0.16</v>
      </c>
      <c r="S15" s="87">
        <f t="shared" si="2"/>
        <v>0.22</v>
      </c>
      <c r="T15" s="87">
        <f t="shared" si="2"/>
        <v>0</v>
      </c>
      <c r="U15" s="2"/>
    </row>
    <row r="16" spans="1:25" x14ac:dyDescent="0.2">
      <c r="J16" s="40" t="s">
        <v>369</v>
      </c>
      <c r="K16" s="30" t="s">
        <v>371</v>
      </c>
      <c r="L16" s="41" t="s">
        <v>372</v>
      </c>
      <c r="M16" s="42" t="s">
        <v>373</v>
      </c>
      <c r="N16" s="30" t="s">
        <v>448</v>
      </c>
      <c r="P16" s="33" t="s">
        <v>438</v>
      </c>
      <c r="Q16" s="88">
        <f>Q15*'Costo Materia Prima'!$I$83</f>
        <v>15.96</v>
      </c>
      <c r="R16" s="88">
        <f>R15*'Costo Materia Prima'!$I$83</f>
        <v>18.240000000000002</v>
      </c>
      <c r="S16" s="88">
        <f>S15*'Costo Materia Prima'!$I$83</f>
        <v>25.080000000000002</v>
      </c>
      <c r="T16" s="88">
        <f>T15*'Costo Materia Prima'!$I$83</f>
        <v>0</v>
      </c>
      <c r="U16" s="88">
        <f>U15*'Costo Materia Prima'!$I$83</f>
        <v>0</v>
      </c>
    </row>
    <row r="17" spans="2:21" x14ac:dyDescent="0.2">
      <c r="J17" s="54" t="s">
        <v>457</v>
      </c>
      <c r="K17" s="43">
        <v>0.02</v>
      </c>
      <c r="L17" s="44">
        <v>0.03</v>
      </c>
      <c r="M17" s="45">
        <v>0.04</v>
      </c>
      <c r="N17" s="43"/>
    </row>
    <row r="18" spans="2:21" x14ac:dyDescent="0.2">
      <c r="J18" s="33" t="s">
        <v>458</v>
      </c>
      <c r="K18" s="46"/>
      <c r="L18" s="56"/>
      <c r="M18" s="56"/>
      <c r="N18" s="56"/>
      <c r="P18" s="339" t="s">
        <v>345</v>
      </c>
      <c r="Q18" s="339"/>
      <c r="R18" s="339"/>
      <c r="S18" s="339"/>
      <c r="T18" s="339"/>
      <c r="U18" s="339"/>
    </row>
    <row r="19" spans="2:21" x14ac:dyDescent="0.2">
      <c r="J19" s="30" t="s">
        <v>459</v>
      </c>
      <c r="K19" s="56">
        <f>SUM(K17:K18)</f>
        <v>0.02</v>
      </c>
      <c r="L19" s="56">
        <f>SUM(L17:L18)</f>
        <v>0.03</v>
      </c>
      <c r="M19" s="56">
        <f>SUM(M17:M18)</f>
        <v>0.04</v>
      </c>
      <c r="N19" s="56">
        <f>SUM(N17:N18)</f>
        <v>0</v>
      </c>
      <c r="P19" s="40" t="s">
        <v>369</v>
      </c>
      <c r="Q19" s="30" t="s">
        <v>370</v>
      </c>
      <c r="R19" s="41" t="s">
        <v>371</v>
      </c>
      <c r="S19" s="42" t="s">
        <v>373</v>
      </c>
      <c r="T19" s="30" t="s">
        <v>448</v>
      </c>
      <c r="U19" s="30" t="s">
        <v>402</v>
      </c>
    </row>
    <row r="20" spans="2:21" x14ac:dyDescent="0.2">
      <c r="J20" s="30" t="s">
        <v>438</v>
      </c>
      <c r="K20" s="59">
        <f>K19*'Costo Materia Prima'!$I$56</f>
        <v>5.12</v>
      </c>
      <c r="L20" s="59">
        <f>L19*'Costo Materia Prima'!$I$56</f>
        <v>7.68</v>
      </c>
      <c r="M20" s="59">
        <f>M19*'Costo Materia Prima'!$I$56</f>
        <v>10.24</v>
      </c>
      <c r="N20" s="59">
        <f>N19*'Costo Materia Prima'!$I$56</f>
        <v>0</v>
      </c>
      <c r="P20" s="54" t="s">
        <v>480</v>
      </c>
      <c r="Q20" s="43">
        <v>0.19</v>
      </c>
      <c r="R20" s="44">
        <v>0.245</v>
      </c>
      <c r="S20" s="45">
        <v>0.39</v>
      </c>
      <c r="T20" s="43">
        <v>1.96</v>
      </c>
      <c r="U20" s="84">
        <v>0.05</v>
      </c>
    </row>
    <row r="21" spans="2:21" x14ac:dyDescent="0.2">
      <c r="P21" s="33" t="s">
        <v>481</v>
      </c>
      <c r="Q21" s="87">
        <v>0.19</v>
      </c>
      <c r="R21" s="87">
        <v>0.245</v>
      </c>
      <c r="S21" s="87">
        <v>0.39</v>
      </c>
      <c r="T21" s="87">
        <v>0.7</v>
      </c>
      <c r="U21" s="87">
        <v>0</v>
      </c>
    </row>
    <row r="22" spans="2:21" x14ac:dyDescent="0.2">
      <c r="P22" s="33" t="s">
        <v>453</v>
      </c>
      <c r="Q22" s="87"/>
      <c r="R22" s="87"/>
      <c r="S22" s="87"/>
      <c r="T22" s="87"/>
      <c r="U22" s="2"/>
    </row>
    <row r="23" spans="2:21" x14ac:dyDescent="0.2">
      <c r="P23" s="33" t="s">
        <v>438</v>
      </c>
      <c r="Q23" s="87">
        <f>SUM(Q20:Q22)</f>
        <v>0.38</v>
      </c>
      <c r="R23" s="87">
        <f t="shared" ref="R23:T23" si="3">SUM(R20:R22)</f>
        <v>0.49</v>
      </c>
      <c r="S23" s="87">
        <f t="shared" si="3"/>
        <v>0.78</v>
      </c>
      <c r="T23" s="87">
        <f t="shared" si="3"/>
        <v>2.66</v>
      </c>
      <c r="U23" s="87">
        <f t="shared" ref="U23" si="4">SUM(U20:U22)</f>
        <v>0.05</v>
      </c>
    </row>
    <row r="24" spans="2:21" x14ac:dyDescent="0.2">
      <c r="P24" s="33" t="s">
        <v>454</v>
      </c>
      <c r="Q24" s="88">
        <f>Q23*'Insumos 1'!$G$13</f>
        <v>35.205683967477725</v>
      </c>
      <c r="R24" s="88">
        <f>R23*'Insumos 1'!$G$13</f>
        <v>45.39680301069496</v>
      </c>
      <c r="S24" s="88">
        <f>S23*'Insumos 1'!$G$13</f>
        <v>72.264298670085864</v>
      </c>
      <c r="T24" s="88">
        <f>T23*'Insumos 1'!$G$13</f>
        <v>246.43978777234409</v>
      </c>
      <c r="U24" s="88">
        <f>U23*'Insumos 1'!$G$13</f>
        <v>4.6323268378260165</v>
      </c>
    </row>
    <row r="29" spans="2:21" x14ac:dyDescent="0.2">
      <c r="B29" s="51"/>
      <c r="C29" s="32"/>
      <c r="D29" s="32"/>
      <c r="E29" s="32"/>
      <c r="F29" s="32"/>
      <c r="G29" s="32"/>
      <c r="H29" s="32"/>
    </row>
    <row r="30" spans="2:21" x14ac:dyDescent="0.2">
      <c r="B30" s="51"/>
      <c r="C30" s="32"/>
      <c r="D30" s="32"/>
      <c r="E30" s="32"/>
      <c r="F30" s="32"/>
      <c r="G30" s="32"/>
      <c r="H30" s="32"/>
    </row>
    <row r="32" spans="2:21" x14ac:dyDescent="0.2">
      <c r="C32" s="32"/>
      <c r="D32" s="32"/>
      <c r="E32" s="32"/>
      <c r="F32" s="32"/>
      <c r="G32" s="32"/>
      <c r="H32" s="32"/>
    </row>
    <row r="34" spans="2:8" x14ac:dyDescent="0.2">
      <c r="B34" s="51"/>
      <c r="C34" s="32"/>
      <c r="D34" s="32"/>
      <c r="E34" s="32"/>
      <c r="F34" s="32"/>
      <c r="G34" s="32"/>
      <c r="H34" s="32"/>
    </row>
    <row r="36" spans="2:8" x14ac:dyDescent="0.2">
      <c r="E36" s="32"/>
      <c r="F36" s="32"/>
      <c r="G36" s="32"/>
      <c r="H36" s="32"/>
    </row>
    <row r="37" spans="2:8" x14ac:dyDescent="0.2">
      <c r="B37" s="26"/>
      <c r="C37" s="32"/>
      <c r="D37" s="32"/>
      <c r="E37" s="32"/>
      <c r="F37" s="32"/>
      <c r="G37" s="32"/>
      <c r="H37" s="32"/>
    </row>
    <row r="38" spans="2:8" x14ac:dyDescent="0.2">
      <c r="B38" s="26"/>
      <c r="C38" s="32"/>
      <c r="D38" s="32"/>
      <c r="E38" s="32"/>
      <c r="F38" s="32"/>
      <c r="G38" s="32"/>
      <c r="H38" s="32"/>
    </row>
    <row r="39" spans="2:8" x14ac:dyDescent="0.2">
      <c r="C39" s="5"/>
      <c r="D39" s="5"/>
      <c r="E39" s="5"/>
      <c r="F39" s="5"/>
      <c r="G39" s="5"/>
      <c r="H39" s="5"/>
    </row>
    <row r="40" spans="2:8" x14ac:dyDescent="0.2">
      <c r="B40" s="26"/>
      <c r="C40" s="32"/>
      <c r="D40" s="32"/>
      <c r="E40" s="32"/>
      <c r="F40" s="32"/>
      <c r="G40" s="32"/>
      <c r="H40" s="32"/>
    </row>
  </sheetData>
  <mergeCells count="7">
    <mergeCell ref="P18:U18"/>
    <mergeCell ref="C2:H2"/>
    <mergeCell ref="J2:N2"/>
    <mergeCell ref="J9:N9"/>
    <mergeCell ref="J15:N15"/>
    <mergeCell ref="P2:U2"/>
    <mergeCell ref="P11:U11"/>
  </mergeCells>
  <pageMargins left="0.7" right="0.7" top="0.75" bottom="0.75" header="0.3" footer="0.3"/>
  <pageSetup orientation="portrait" horizontalDpi="0" verticalDpi="0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6C9FE6-CEE7-9F43-A5A8-AD7E44213FBF}">
  <sheetPr codeName="Hoja33">
    <pageSetUpPr fitToPage="1"/>
  </sheetPr>
  <dimension ref="A2:L45"/>
  <sheetViews>
    <sheetView topLeftCell="A27" zoomScale="125" workbookViewId="0">
      <selection activeCell="A38" sqref="A38"/>
    </sheetView>
  </sheetViews>
  <sheetFormatPr baseColWidth="10" defaultColWidth="11.5" defaultRowHeight="15" x14ac:dyDescent="0.2"/>
  <cols>
    <col min="1" max="1" width="18.83203125" bestFit="1" customWidth="1"/>
    <col min="2" max="2" width="8" bestFit="1" customWidth="1"/>
    <col min="3" max="3" width="8.6640625" bestFit="1" customWidth="1"/>
    <col min="4" max="4" width="10.1640625" bestFit="1" customWidth="1"/>
  </cols>
  <sheetData>
    <row r="2" spans="1:12" x14ac:dyDescent="0.2">
      <c r="F2" s="2" t="s">
        <v>581</v>
      </c>
      <c r="G2" s="2">
        <v>100</v>
      </c>
    </row>
    <row r="4" spans="1:12" ht="32" x14ac:dyDescent="0.2">
      <c r="A4" s="162" t="s">
        <v>2</v>
      </c>
      <c r="B4" s="162" t="s">
        <v>4</v>
      </c>
      <c r="C4" s="162" t="s">
        <v>4</v>
      </c>
      <c r="D4" s="161" t="s">
        <v>582</v>
      </c>
      <c r="E4" s="162" t="s">
        <v>7</v>
      </c>
      <c r="F4" s="162" t="s">
        <v>583</v>
      </c>
      <c r="G4" s="162" t="s">
        <v>5</v>
      </c>
    </row>
    <row r="5" spans="1:12" x14ac:dyDescent="0.2">
      <c r="A5" s="2" t="s">
        <v>143</v>
      </c>
      <c r="B5" s="2">
        <v>4</v>
      </c>
      <c r="C5" s="2"/>
      <c r="D5" s="85">
        <f>E5/B5</f>
        <v>5.4465416666666666</v>
      </c>
      <c r="E5" s="28">
        <f>IFERROR(VLOOKUP(A5,'Costo Materia Prima'!$D$3:$I$197,6,FALSE),"")*B5</f>
        <v>21.786166666666666</v>
      </c>
      <c r="F5" s="2">
        <f>$G$2*B5</f>
        <v>400</v>
      </c>
      <c r="G5" s="2" t="s">
        <v>466</v>
      </c>
    </row>
    <row r="6" spans="1:12" x14ac:dyDescent="0.2">
      <c r="A6" s="2" t="s">
        <v>144</v>
      </c>
      <c r="B6" s="2">
        <v>2.5000000000000001E-2</v>
      </c>
      <c r="C6" s="2">
        <v>3</v>
      </c>
      <c r="D6" s="85">
        <f>IFERROR(VLOOKUP(A6,'Costo Materia Prima'!$D$3:$I$197,6,FALSE),"")</f>
        <v>0</v>
      </c>
      <c r="E6" s="28">
        <f>IFERROR(VLOOKUP(A6,'Costo Materia Prima'!$D$3:$I$197,6,FALSE),"")*C6*B6</f>
        <v>0</v>
      </c>
      <c r="F6" s="2">
        <f>$G$2*B6*C6</f>
        <v>7.5</v>
      </c>
      <c r="G6" s="2" t="s">
        <v>15</v>
      </c>
      <c r="H6" t="s">
        <v>584</v>
      </c>
    </row>
    <row r="7" spans="1:12" x14ac:dyDescent="0.2">
      <c r="A7" s="2" t="s">
        <v>38</v>
      </c>
      <c r="B7" s="2">
        <v>5.0000000000000001E-3</v>
      </c>
      <c r="C7" s="2">
        <v>4</v>
      </c>
      <c r="D7" s="85">
        <f>IFERROR(VLOOKUP(A7,'Costo Materia Prima'!$D$3:$I$197,6,FALSE),"")</f>
        <v>0</v>
      </c>
      <c r="E7" s="28">
        <f>IFERROR(VLOOKUP(A7,'Costo Materia Prima'!$D$3:$I$197,6,FALSE),"")*C7*B7</f>
        <v>0</v>
      </c>
      <c r="F7" s="2">
        <f>$G$2*B7*C7</f>
        <v>2</v>
      </c>
      <c r="G7" s="2" t="s">
        <v>15</v>
      </c>
    </row>
    <row r="8" spans="1:12" x14ac:dyDescent="0.2">
      <c r="A8" s="2" t="s">
        <v>119</v>
      </c>
      <c r="B8" s="2">
        <v>1</v>
      </c>
      <c r="C8" s="2"/>
      <c r="D8" s="85">
        <f>E8/B8</f>
        <v>0</v>
      </c>
      <c r="E8" s="28">
        <f>IFERROR(VLOOKUP(A8,'Costo Materia Prima'!$D$3:$I$197,6,FALSE),"")*B8</f>
        <v>0</v>
      </c>
      <c r="F8" s="2">
        <f>$G$2*B8</f>
        <v>100</v>
      </c>
      <c r="G8" s="2" t="s">
        <v>466</v>
      </c>
    </row>
    <row r="9" spans="1:12" x14ac:dyDescent="0.2">
      <c r="A9" s="2" t="s">
        <v>171</v>
      </c>
      <c r="B9" s="2">
        <v>1</v>
      </c>
      <c r="C9" s="2"/>
      <c r="D9" s="85">
        <f t="shared" ref="D9:D15" si="0">E9/B9</f>
        <v>0.49880000000000002</v>
      </c>
      <c r="E9" s="28">
        <f>IFERROR(VLOOKUP(A9,'Costo Materia Prima'!$D$3:$I$197,6,FALSE),"")*B9</f>
        <v>0.49880000000000002</v>
      </c>
      <c r="F9" s="2">
        <f>$G$2*B9</f>
        <v>100</v>
      </c>
      <c r="G9" s="2" t="s">
        <v>466</v>
      </c>
    </row>
    <row r="10" spans="1:12" x14ac:dyDescent="0.2">
      <c r="A10" s="2" t="s">
        <v>331</v>
      </c>
      <c r="B10" s="2">
        <v>3</v>
      </c>
      <c r="C10" s="2"/>
      <c r="D10" s="85">
        <f t="shared" si="0"/>
        <v>62.175000000000004</v>
      </c>
      <c r="E10" s="28">
        <f>IFERROR(VLOOKUP(A10,'Costo Materia Prima'!$D$3:$I$197,6,FALSE),"")*B10</f>
        <v>186.52500000000001</v>
      </c>
      <c r="F10" s="2">
        <f>$G$2*B10</f>
        <v>300</v>
      </c>
      <c r="G10" s="2" t="s">
        <v>466</v>
      </c>
    </row>
    <row r="11" spans="1:12" x14ac:dyDescent="0.2">
      <c r="A11" s="2" t="s">
        <v>332</v>
      </c>
      <c r="B11" s="2">
        <v>3</v>
      </c>
      <c r="C11" s="2"/>
      <c r="D11" s="85">
        <f t="shared" si="0"/>
        <v>7.3333333333333334E-2</v>
      </c>
      <c r="E11" s="28">
        <f>IFERROR(VLOOKUP(A11,'Costo Materia Prima'!$D$3:$I$197,6,FALSE),"")*B11</f>
        <v>0.22</v>
      </c>
      <c r="F11" s="2">
        <f>$G$2*B11</f>
        <v>300</v>
      </c>
      <c r="G11" s="2" t="s">
        <v>466</v>
      </c>
    </row>
    <row r="12" spans="1:12" x14ac:dyDescent="0.2">
      <c r="A12" s="2" t="s">
        <v>42</v>
      </c>
      <c r="B12" s="2">
        <v>5.0000000000000001E-3</v>
      </c>
      <c r="C12" s="2">
        <v>3</v>
      </c>
      <c r="D12" s="85">
        <f>E12/B12</f>
        <v>1515.5322580645161</v>
      </c>
      <c r="E12" s="28">
        <f>IFERROR(VLOOKUP(A12,'Costo Materia Prima'!$D$3:$I$197,6,FALSE),"")*B12*C12</f>
        <v>7.5776612903225811</v>
      </c>
      <c r="F12" s="2">
        <f>$G$2*B12*C12</f>
        <v>1.5</v>
      </c>
      <c r="G12" s="2" t="s">
        <v>15</v>
      </c>
      <c r="L12" s="26">
        <f>E16/185</f>
        <v>1.1708520430107525</v>
      </c>
    </row>
    <row r="13" spans="1:12" x14ac:dyDescent="0.2">
      <c r="A13" s="2" t="s">
        <v>144</v>
      </c>
      <c r="B13" s="2">
        <v>0.02</v>
      </c>
      <c r="C13" s="2">
        <v>2</v>
      </c>
      <c r="D13" s="85">
        <f>E13/B13/C13</f>
        <v>0</v>
      </c>
      <c r="E13" s="28">
        <f>IFERROR(VLOOKUP(A13,'Costo Materia Prima'!$D$3:$I$197,6,FALSE),"")*B13*C13</f>
        <v>0</v>
      </c>
      <c r="F13" s="2">
        <f>$G$2*B13*C13</f>
        <v>4</v>
      </c>
      <c r="G13" s="2" t="s">
        <v>15</v>
      </c>
      <c r="H13" t="s">
        <v>585</v>
      </c>
    </row>
    <row r="14" spans="1:12" x14ac:dyDescent="0.2">
      <c r="A14" s="2" t="s">
        <v>144</v>
      </c>
      <c r="B14" s="2">
        <v>0.02</v>
      </c>
      <c r="C14" s="2">
        <v>2</v>
      </c>
      <c r="D14" s="85">
        <f>E14/B14/C14</f>
        <v>0</v>
      </c>
      <c r="E14" s="28">
        <f>IFERROR(VLOOKUP(A14,'Costo Materia Prima'!$D$3:$I$197,6,FALSE),"")*B14*C14</f>
        <v>0</v>
      </c>
      <c r="F14" s="2">
        <f>$G$2*B14*C14</f>
        <v>4</v>
      </c>
      <c r="G14" s="2" t="s">
        <v>15</v>
      </c>
      <c r="H14" t="s">
        <v>421</v>
      </c>
    </row>
    <row r="15" spans="1:12" x14ac:dyDescent="0.2">
      <c r="A15" s="2" t="s">
        <v>334</v>
      </c>
      <c r="B15" s="2">
        <v>1</v>
      </c>
      <c r="C15" s="2"/>
      <c r="D15" s="85">
        <f t="shared" si="0"/>
        <v>0</v>
      </c>
      <c r="E15" s="28">
        <f>IFERROR(VLOOKUP(A15,'Costo Materia Prima'!$D$3:$I$197,6,FALSE),"")*B15</f>
        <v>0</v>
      </c>
      <c r="F15" s="2">
        <f>$G$2*B15</f>
        <v>100</v>
      </c>
      <c r="G15" s="2" t="s">
        <v>466</v>
      </c>
    </row>
    <row r="16" spans="1:12" x14ac:dyDescent="0.2">
      <c r="E16" s="126">
        <f>SUM(E5:E15)</f>
        <v>216.60762795698923</v>
      </c>
    </row>
    <row r="20" spans="1:5" x14ac:dyDescent="0.2">
      <c r="A20" s="2" t="s">
        <v>400</v>
      </c>
      <c r="B20" s="2"/>
      <c r="C20" s="2" t="s">
        <v>4</v>
      </c>
      <c r="D20" s="2"/>
      <c r="E20" s="2" t="s">
        <v>7</v>
      </c>
    </row>
    <row r="21" spans="1:5" x14ac:dyDescent="0.2">
      <c r="A21" s="2" t="s">
        <v>586</v>
      </c>
      <c r="B21" s="2">
        <v>5</v>
      </c>
      <c r="C21" s="2">
        <v>2</v>
      </c>
      <c r="D21" s="2"/>
      <c r="E21" s="28">
        <f>11.39*C21</f>
        <v>22.78</v>
      </c>
    </row>
    <row r="22" spans="1:5" x14ac:dyDescent="0.2">
      <c r="A22" s="2" t="s">
        <v>38</v>
      </c>
      <c r="B22" s="2">
        <v>0.05</v>
      </c>
      <c r="C22" s="2">
        <v>1</v>
      </c>
      <c r="D22" s="2"/>
      <c r="E22" s="28">
        <f>IFERROR(VLOOKUP(A22,'Costo Materia Prima'!$D$3:$I$197,6,FALSE),"")*C22*B22</f>
        <v>0</v>
      </c>
    </row>
    <row r="23" spans="1:5" x14ac:dyDescent="0.2">
      <c r="A23" s="2" t="s">
        <v>587</v>
      </c>
      <c r="B23" s="2"/>
      <c r="C23" s="2">
        <v>1</v>
      </c>
      <c r="D23" s="2"/>
      <c r="E23" s="28">
        <f>'Pastel Vainilla'!G12-'Pastel Vainilla'!H9</f>
        <v>195.47167553175774</v>
      </c>
    </row>
    <row r="24" spans="1:5" x14ac:dyDescent="0.2">
      <c r="A24" s="167" t="s">
        <v>588</v>
      </c>
    </row>
    <row r="25" spans="1:5" x14ac:dyDescent="0.2">
      <c r="A25" s="167" t="s">
        <v>589</v>
      </c>
    </row>
    <row r="26" spans="1:5" x14ac:dyDescent="0.2">
      <c r="A26" s="167" t="s">
        <v>590</v>
      </c>
    </row>
    <row r="27" spans="1:5" x14ac:dyDescent="0.2">
      <c r="A27" s="168" t="s">
        <v>344</v>
      </c>
      <c r="E27" s="126">
        <f>SUM(E21:E23)</f>
        <v>218.25167553175774</v>
      </c>
    </row>
    <row r="31" spans="1:5" x14ac:dyDescent="0.2">
      <c r="E31">
        <v>600</v>
      </c>
    </row>
    <row r="32" spans="1:5" x14ac:dyDescent="0.2">
      <c r="E32" s="26">
        <f>E27/E31</f>
        <v>0.36375279255292958</v>
      </c>
    </row>
    <row r="36" spans="1:3" ht="32" x14ac:dyDescent="0.2">
      <c r="A36" s="162" t="s">
        <v>2</v>
      </c>
      <c r="B36" s="162" t="s">
        <v>4</v>
      </c>
      <c r="C36" s="161" t="s">
        <v>582</v>
      </c>
    </row>
    <row r="37" spans="1:3" x14ac:dyDescent="0.2">
      <c r="A37" s="2" t="s">
        <v>143</v>
      </c>
      <c r="B37" s="2">
        <v>1</v>
      </c>
      <c r="C37" s="28">
        <f>IFERROR(VLOOKUP(A37,'Costo Materia Prima'!$D$3:$I$197,6,FALSE),"")*B37</f>
        <v>5.4465416666666666</v>
      </c>
    </row>
    <row r="38" spans="1:3" x14ac:dyDescent="0.2">
      <c r="A38" s="2" t="s">
        <v>144</v>
      </c>
      <c r="B38" s="2">
        <v>2.5000000000000001E-2</v>
      </c>
      <c r="C38" s="28">
        <f>IFERROR(VLOOKUP(A38,'Costo Materia Prima'!$D$3:$I$197,6,FALSE),"")*B38</f>
        <v>0</v>
      </c>
    </row>
    <row r="39" spans="1:3" x14ac:dyDescent="0.2">
      <c r="A39" s="2" t="s">
        <v>38</v>
      </c>
      <c r="B39" s="2">
        <v>5.0000000000000001E-3</v>
      </c>
      <c r="C39" s="28">
        <f>IFERROR(VLOOKUP(A39,'Costo Materia Prima'!$D$3:$I$197,6,FALSE),"")*B39</f>
        <v>0</v>
      </c>
    </row>
    <row r="40" spans="1:3" x14ac:dyDescent="0.2">
      <c r="A40" s="2" t="s">
        <v>173</v>
      </c>
      <c r="B40" s="2">
        <v>1</v>
      </c>
      <c r="C40" s="28">
        <f>IFERROR(VLOOKUP(A40,'Costo Materia Prima'!$D$3:$I$197,6,FALSE),"")*B40</f>
        <v>0.25519999999999998</v>
      </c>
    </row>
    <row r="41" spans="1:3" x14ac:dyDescent="0.2">
      <c r="A41" s="2" t="s">
        <v>251</v>
      </c>
      <c r="B41" s="2">
        <v>1</v>
      </c>
      <c r="C41" s="28">
        <f>IFERROR(VLOOKUP(A41,'Costo Materia Prima'!$D$3:$I$197,6,FALSE),"")*B41</f>
        <v>2.3219400000000001</v>
      </c>
    </row>
    <row r="42" spans="1:3" x14ac:dyDescent="0.2">
      <c r="A42" s="2" t="s">
        <v>176</v>
      </c>
      <c r="B42" s="2">
        <f>1/4</f>
        <v>0.25</v>
      </c>
      <c r="C42" s="28">
        <f>IFERROR(VLOOKUP(A42,'Costo Materia Prima'!$D$3:$I$197,6,FALSE),"")*B42</f>
        <v>0.39150000000000001</v>
      </c>
    </row>
    <row r="43" spans="1:3" x14ac:dyDescent="0.2">
      <c r="C43" s="13">
        <f>SUM(C37:C42)</f>
        <v>8.4151816666666672</v>
      </c>
    </row>
    <row r="44" spans="1:3" x14ac:dyDescent="0.2">
      <c r="B44" s="26">
        <v>0.5</v>
      </c>
      <c r="C44" s="13">
        <f>C43/(1-B44)</f>
        <v>16.830363333333334</v>
      </c>
    </row>
    <row r="45" spans="1:3" x14ac:dyDescent="0.2">
      <c r="C45" s="26">
        <f>(C44-C43)/C44</f>
        <v>0.5</v>
      </c>
    </row>
  </sheetData>
  <pageMargins left="0.7" right="0.7" top="0.75" bottom="0.75" header="0.3" footer="0.3"/>
  <pageSetup scale="95" orientation="landscape" horizontalDpi="0" verticalDpi="0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A3F520CA-1538-0047-A00F-BCE7E813D7F9}">
          <x14:formula1>
            <xm:f>'Costo Materia Prima'!$D$3:$D$162</xm:f>
          </x14:formula1>
          <xm:sqref>A5:A16 A22 A37:A42</xm:sqref>
        </x14:dataValidation>
      </x14:dataValidations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EBFD7A79-8869-4FE6-B480-6464DF6826AD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Hojas de cálculo</vt:lpstr>
      </vt:variant>
      <vt:variant>
        <vt:i4>37</vt:i4>
      </vt:variant>
      <vt:variant>
        <vt:lpstr>Rangos con nombre</vt:lpstr>
      </vt:variant>
      <vt:variant>
        <vt:i4>6</vt:i4>
      </vt:variant>
    </vt:vector>
  </HeadingPairs>
  <TitlesOfParts>
    <vt:vector size="43" baseType="lpstr">
      <vt:lpstr>Precios Mayoreo</vt:lpstr>
      <vt:lpstr>Lista de Costo Produccion</vt:lpstr>
      <vt:lpstr>Pastel Fresas Con Crema</vt:lpstr>
      <vt:lpstr>Lista de Precio Actual</vt:lpstr>
      <vt:lpstr>Costo Materia Prima</vt:lpstr>
      <vt:lpstr>Insumos 1</vt:lpstr>
      <vt:lpstr>Insumos 2</vt:lpstr>
      <vt:lpstr>Insumos 3</vt:lpstr>
      <vt:lpstr>Bollos</vt:lpstr>
      <vt:lpstr>Roscas</vt:lpstr>
      <vt:lpstr>Cheesecake</vt:lpstr>
      <vt:lpstr>Resumen Costos</vt:lpstr>
      <vt:lpstr>Alfajores</vt:lpstr>
      <vt:lpstr>Galletas</vt:lpstr>
      <vt:lpstr>Pan de Muerto</vt:lpstr>
      <vt:lpstr>Pan de la Casa</vt:lpstr>
      <vt:lpstr>Pastel Brownie</vt:lpstr>
      <vt:lpstr>Empanadas</vt:lpstr>
      <vt:lpstr>Pastel Lotus</vt:lpstr>
      <vt:lpstr>B. Halloween</vt:lpstr>
      <vt:lpstr>Pay Plátano</vt:lpstr>
      <vt:lpstr>Pay</vt:lpstr>
      <vt:lpstr>Flan</vt:lpstr>
      <vt:lpstr>Vasos</vt:lpstr>
      <vt:lpstr>San Valentín</vt:lpstr>
      <vt:lpstr>Pastel 3 Pecados</vt:lpstr>
      <vt:lpstr>Pastel Crunch</vt:lpstr>
      <vt:lpstr>Pastel Snicker's</vt:lpstr>
      <vt:lpstr>Pastel Zanahoria</vt:lpstr>
      <vt:lpstr>Pastel 3 Leches</vt:lpstr>
      <vt:lpstr>Pastel 3 Leches Lotus</vt:lpstr>
      <vt:lpstr>Pastel Chocolate</vt:lpstr>
      <vt:lpstr>Pastel Piñatero</vt:lpstr>
      <vt:lpstr>Pastel Red Velvet</vt:lpstr>
      <vt:lpstr>Pastel Confeti</vt:lpstr>
      <vt:lpstr>Pastel Vainilla</vt:lpstr>
      <vt:lpstr>Día del Niño</vt:lpstr>
      <vt:lpstr>'Día del Niño'!Área_de_impresión</vt:lpstr>
      <vt:lpstr>'Lista de Costo Produccion'!Área_de_impresión</vt:lpstr>
      <vt:lpstr>'Lista de Precio Actual'!Área_de_impresión</vt:lpstr>
      <vt:lpstr>'Precios Mayoreo'!Área_de_impresión</vt:lpstr>
      <vt:lpstr>'Resumen Costos'!Área_de_impresión</vt:lpstr>
      <vt:lpstr>'Costo Materia Prima'!Producto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Mauricio Burgos</dc:creator>
  <cp:keywords/>
  <dc:description/>
  <cp:lastModifiedBy>Pollyana's Dolce Pastelería</cp:lastModifiedBy>
  <cp:revision/>
  <cp:lastPrinted>2026-02-03T23:46:12Z</cp:lastPrinted>
  <dcterms:created xsi:type="dcterms:W3CDTF">2023-06-08T20:00:05Z</dcterms:created>
  <dcterms:modified xsi:type="dcterms:W3CDTF">2026-02-10T07:07:25Z</dcterms:modified>
  <cp:category/>
  <cp:contentStatus/>
</cp:coreProperties>
</file>